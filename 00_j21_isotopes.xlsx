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ynea/Documents/GitHub/BGOS-JOIS-Data/jois2021/"/>
    </mc:Choice>
  </mc:AlternateContent>
  <xr:revisionPtr revIDLastSave="0" documentId="13_ncr:1_{DAC91AF5-A9DB-2E4F-9868-B39643D0816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1" l="1"/>
  <c r="G70" i="1"/>
  <c r="F71" i="1"/>
  <c r="G71" i="1"/>
  <c r="F65" i="1"/>
  <c r="G65" i="1"/>
  <c r="F47" i="1"/>
  <c r="G47" i="1"/>
  <c r="F14" i="1"/>
  <c r="G14" i="1"/>
  <c r="F6" i="1"/>
  <c r="G6" i="1"/>
  <c r="F2" i="1"/>
  <c r="G2" i="1"/>
  <c r="F3" i="1"/>
  <c r="G3" i="1"/>
  <c r="F4" i="1"/>
  <c r="G4" i="1"/>
  <c r="F5" i="1"/>
  <c r="G5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1" i="1"/>
  <c r="G61" i="1"/>
  <c r="F62" i="1"/>
  <c r="G62" i="1"/>
  <c r="F63" i="1"/>
  <c r="G63" i="1"/>
  <c r="F64" i="1"/>
  <c r="G64" i="1"/>
  <c r="F66" i="1"/>
  <c r="G66" i="1"/>
  <c r="F67" i="1"/>
  <c r="G67" i="1"/>
  <c r="F68" i="1"/>
  <c r="G68" i="1"/>
  <c r="F69" i="1"/>
  <c r="G69" i="1"/>
  <c r="F72" i="1"/>
  <c r="G72" i="1"/>
  <c r="F73" i="1"/>
  <c r="G73" i="1"/>
  <c r="F74" i="1"/>
  <c r="G74" i="1"/>
  <c r="F75" i="1"/>
  <c r="G75" i="1"/>
  <c r="F76" i="1"/>
  <c r="G76" i="1"/>
  <c r="F77" i="1"/>
  <c r="G77" i="1"/>
</calcChain>
</file>

<file path=xl/sharedStrings.xml><?xml version="1.0" encoding="utf-8"?>
<sst xmlns="http://schemas.openxmlformats.org/spreadsheetml/2006/main" count="249" uniqueCount="114">
  <si>
    <t>sample_number</t>
  </si>
  <si>
    <t>Station</t>
  </si>
  <si>
    <t>CB4</t>
  </si>
  <si>
    <t>CB5</t>
  </si>
  <si>
    <t>CB21</t>
  </si>
  <si>
    <t>CB19</t>
  </si>
  <si>
    <t>CB31b</t>
  </si>
  <si>
    <t>CB23a</t>
  </si>
  <si>
    <t>CB22</t>
  </si>
  <si>
    <t>CB1</t>
  </si>
  <si>
    <t>bottle</t>
  </si>
  <si>
    <t>ETHLabel</t>
  </si>
  <si>
    <t>JOIS21 289</t>
  </si>
  <si>
    <t>JOIS21 290</t>
  </si>
  <si>
    <t>JOIS21 291</t>
  </si>
  <si>
    <t>JOIS21 292</t>
  </si>
  <si>
    <t>JOIS21 293.1</t>
  </si>
  <si>
    <t>JOIS21 297</t>
  </si>
  <si>
    <t>JOIS21 300</t>
  </si>
  <si>
    <t>JOIS21 304</t>
  </si>
  <si>
    <t>JOIS21 305</t>
  </si>
  <si>
    <t>JOIS21 306</t>
  </si>
  <si>
    <t>JOIS21 335</t>
  </si>
  <si>
    <t>JOIS21 336</t>
  </si>
  <si>
    <t>JOIS21 337.1</t>
  </si>
  <si>
    <t>JOIS21 338</t>
  </si>
  <si>
    <t>JOIS21 342</t>
  </si>
  <si>
    <t>JOIS21 345</t>
  </si>
  <si>
    <t>JOIS21 349</t>
  </si>
  <si>
    <t>JOIS21 351</t>
  </si>
  <si>
    <t>JOIS21 354</t>
  </si>
  <si>
    <t>JOIS21 782</t>
  </si>
  <si>
    <t>JOIS21 790</t>
  </si>
  <si>
    <t>JOIS21 802</t>
  </si>
  <si>
    <t>JOIS21 809</t>
  </si>
  <si>
    <t>JOIS21 811</t>
  </si>
  <si>
    <t>JOIS21 812</t>
  </si>
  <si>
    <t>JOIS21 813</t>
  </si>
  <si>
    <t>JOIS21 817</t>
  </si>
  <si>
    <t>JOIS21 818</t>
  </si>
  <si>
    <t>JOIS21 819</t>
  </si>
  <si>
    <t>JOIS21 825</t>
  </si>
  <si>
    <t>JOIS21 830</t>
  </si>
  <si>
    <t>JOIS21 834</t>
  </si>
  <si>
    <t>JOIS21 835</t>
  </si>
  <si>
    <t>JOIS21 836</t>
  </si>
  <si>
    <t>JOIS21 837</t>
  </si>
  <si>
    <t>JOIS21 838</t>
  </si>
  <si>
    <t>JOIS21 839</t>
  </si>
  <si>
    <t>JOIS21 842</t>
  </si>
  <si>
    <t>JOIS21 845</t>
  </si>
  <si>
    <t>JOIS21 849</t>
  </si>
  <si>
    <t>JOIS21 852</t>
  </si>
  <si>
    <t>JOIS21 853</t>
  </si>
  <si>
    <t>JOIS21 926</t>
  </si>
  <si>
    <t>JOIS21 927</t>
  </si>
  <si>
    <t>JOIS21 928</t>
  </si>
  <si>
    <t>JOIS21 929.1</t>
  </si>
  <si>
    <t>JOIS21 930</t>
  </si>
  <si>
    <t>JOIS21 935</t>
  </si>
  <si>
    <t>JOIS21 938</t>
  </si>
  <si>
    <t>JOIS21 942</t>
  </si>
  <si>
    <t>JOIS21 945</t>
  </si>
  <si>
    <t>JOIS21 948</t>
  </si>
  <si>
    <t>JOIS21 949</t>
  </si>
  <si>
    <t>JOIS21 952</t>
  </si>
  <si>
    <t>JOIS21 953</t>
  </si>
  <si>
    <t>JOIS21 954</t>
  </si>
  <si>
    <t>JOIS21 955</t>
  </si>
  <si>
    <t>JOIS21 956</t>
  </si>
  <si>
    <t>JOIS21 962</t>
  </si>
  <si>
    <t>JOIS21 966</t>
  </si>
  <si>
    <t>JOIS21 969</t>
  </si>
  <si>
    <t>JOIS21 973</t>
  </si>
  <si>
    <t>JOIS21 976</t>
  </si>
  <si>
    <t>JOIS21 977.1</t>
  </si>
  <si>
    <t>JOIS21 978</t>
  </si>
  <si>
    <t>JOIS21 979</t>
  </si>
  <si>
    <t>JOIS21 980</t>
  </si>
  <si>
    <t>JOIS21 984</t>
  </si>
  <si>
    <t>JOIS21 991</t>
  </si>
  <si>
    <t>JOIS21 996.1</t>
  </si>
  <si>
    <t>JOIS21 1188</t>
  </si>
  <si>
    <t>JOIS21 1192</t>
  </si>
  <si>
    <t>JOIS21 1200</t>
  </si>
  <si>
    <t>JOIS21 1203</t>
  </si>
  <si>
    <t>JOIS21 1206</t>
  </si>
  <si>
    <t>JOIS21 1209</t>
  </si>
  <si>
    <t>Date_Time</t>
  </si>
  <si>
    <t>Aug 28 2021 13:29:58</t>
  </si>
  <si>
    <t>Aug 29 2021 07:02:04</t>
  </si>
  <si>
    <t>Sep 07 2021 21:55:31</t>
  </si>
  <si>
    <t>Sep 08 2021 00:20:49</t>
  </si>
  <si>
    <t>Sep 08 2021 07:56:49</t>
  </si>
  <si>
    <t>Sep 10 2021 17:19:31</t>
  </si>
  <si>
    <t>Sep 11 2021 02:19:11</t>
  </si>
  <si>
    <t>Sep 11 2021 08:45:51</t>
  </si>
  <si>
    <t>Sep 13 2021 13:54:30</t>
  </si>
  <si>
    <t>Bottom_depth</t>
  </si>
  <si>
    <t>Pressure_dbar</t>
  </si>
  <si>
    <t>Temperature_degC</t>
  </si>
  <si>
    <t>Salinity</t>
  </si>
  <si>
    <t>Latitude_degN</t>
  </si>
  <si>
    <t>Longitude_degE</t>
  </si>
  <si>
    <t>I129_at_kg</t>
  </si>
  <si>
    <t>unc_I129_at_kg</t>
  </si>
  <si>
    <t>unc_I129_percent</t>
  </si>
  <si>
    <t>Depth</t>
  </si>
  <si>
    <t>Sigma0</t>
  </si>
  <si>
    <t>Insitu_Density</t>
  </si>
  <si>
    <t>I129_at_l</t>
  </si>
  <si>
    <t>unc_I129_at_l</t>
  </si>
  <si>
    <t>Date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</si>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</sst>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name val="Calibri"/>
    </font>
    <font>
      <sz val="8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14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7"/>
  <sheetViews>
    <sheetView tabSelected="1" topLeftCell="I43" workbookViewId="0">
      <selection activeCell="B70" sqref="A70:XFD70"/>
    </sheetView>
  </sheetViews>
  <sheetFormatPr baseColWidth="10" defaultColWidth="8.83203125" defaultRowHeight="15" x14ac:dyDescent="0.2"/>
  <cols>
    <col min="1" max="1" width="15.5" customWidth="1"/>
    <col min="2" max="2" width="7.5" customWidth="1"/>
    <col min="3" max="3" width="6.5" customWidth="1"/>
    <col min="4" max="4" width="11.83203125" customWidth="1"/>
    <col min="5" max="7" width="19" customWidth="1"/>
    <col min="8" max="8" width="14" customWidth="1"/>
    <col min="9" max="9" width="13.83203125" customWidth="1"/>
    <col min="10" max="10" width="18.1640625" customWidth="1"/>
    <col min="11" max="11" width="11.6640625" customWidth="1"/>
    <col min="12" max="12" width="14.1640625" customWidth="1"/>
    <col min="13" max="13" width="15.33203125" customWidth="1"/>
    <col min="14" max="14" width="11.6640625" customWidth="1"/>
    <col min="15" max="15" width="14.5" customWidth="1"/>
    <col min="16" max="16" width="16.6640625" customWidth="1"/>
    <col min="17" max="18" width="11.6640625" customWidth="1"/>
    <col min="19" max="19" width="13.83203125" customWidth="1"/>
    <col min="20" max="20" width="11.6640625" customWidth="1"/>
    <col min="21" max="21" width="13.1640625" customWidth="1"/>
  </cols>
  <sheetData>
    <row r="1" spans="1:21" x14ac:dyDescent="0.2">
      <c r="A1" s="1" t="s">
        <v>0</v>
      </c>
      <c r="B1" t="s">
        <v>1</v>
      </c>
      <c r="C1" t="s">
        <v>10</v>
      </c>
      <c r="D1" t="s">
        <v>11</v>
      </c>
      <c r="E1" t="s">
        <v>88</v>
      </c>
      <c r="F1" s="1" t="s">
        <v>112</v>
      </c>
      <c r="G1" s="1" t="s">
        <v>113</v>
      </c>
      <c r="H1" t="s">
        <v>98</v>
      </c>
      <c r="I1" t="s">
        <v>99</v>
      </c>
      <c r="J1" t="s">
        <v>100</v>
      </c>
      <c r="K1" t="s">
        <v>101</v>
      </c>
      <c r="L1" t="s">
        <v>102</v>
      </c>
      <c r="M1" t="s">
        <v>103</v>
      </c>
      <c r="N1" t="s">
        <v>104</v>
      </c>
      <c r="O1" t="s">
        <v>105</v>
      </c>
      <c r="P1" t="s">
        <v>106</v>
      </c>
      <c r="Q1" t="s">
        <v>107</v>
      </c>
      <c r="R1" t="s">
        <v>108</v>
      </c>
      <c r="S1" t="s">
        <v>109</v>
      </c>
      <c r="T1" t="s">
        <v>110</v>
      </c>
      <c r="U1" t="s">
        <v>111</v>
      </c>
    </row>
    <row r="2" spans="1:21" x14ac:dyDescent="0.2">
      <c r="A2">
        <v>289</v>
      </c>
      <c r="B2" t="s">
        <v>2</v>
      </c>
      <c r="C2">
        <v>7</v>
      </c>
      <c r="D2" t="s">
        <v>12</v>
      </c>
      <c r="E2" t="s">
        <v>89</v>
      </c>
      <c r="F2" s="2">
        <f t="shared" ref="F2:F65" si="0">DATEVALUE(MID(E2,5,2)&amp;"-"&amp;LEFT(E2,3)&amp;"-"&amp;MID(E2,8,4))</f>
        <v>44436</v>
      </c>
      <c r="G2" s="3">
        <f t="shared" ref="G2:G63" si="1">TIMEVALUE(MID(E2,13,8))</f>
        <v>0.56247685185185181</v>
      </c>
      <c r="H2">
        <v>3823</v>
      </c>
      <c r="I2">
        <v>2032.5609999999999</v>
      </c>
      <c r="J2">
        <v>-0.39379999999999998</v>
      </c>
      <c r="K2">
        <v>34.935774263381916</v>
      </c>
      <c r="L2">
        <v>75.000833333333333</v>
      </c>
      <c r="M2">
        <v>-150.00133333333332</v>
      </c>
      <c r="N2">
        <v>639808597.78360498</v>
      </c>
      <c r="O2">
        <v>20279180.844037801</v>
      </c>
      <c r="P2">
        <v>3.1695699173609091</v>
      </c>
      <c r="Q2">
        <v>2001.7275477695462</v>
      </c>
      <c r="R2">
        <v>28.083654661327955</v>
      </c>
      <c r="S2">
        <v>1.0281320665239297</v>
      </c>
      <c r="T2">
        <v>657807735.81903553</v>
      </c>
      <c r="U2">
        <v>20849676.108593073</v>
      </c>
    </row>
    <row r="3" spans="1:21" x14ac:dyDescent="0.2">
      <c r="A3">
        <v>290</v>
      </c>
      <c r="B3" t="s">
        <v>2</v>
      </c>
      <c r="C3">
        <v>8</v>
      </c>
      <c r="D3" t="s">
        <v>13</v>
      </c>
      <c r="E3" t="s">
        <v>89</v>
      </c>
      <c r="F3" s="2">
        <f t="shared" si="0"/>
        <v>44436</v>
      </c>
      <c r="G3" s="3">
        <f t="shared" si="1"/>
        <v>0.56247685185185181</v>
      </c>
      <c r="H3">
        <v>3823</v>
      </c>
      <c r="I3">
        <v>1523.231</v>
      </c>
      <c r="J3">
        <v>-0.26779999999999998</v>
      </c>
      <c r="K3">
        <v>34.904094323340708</v>
      </c>
      <c r="L3">
        <v>75.000833333333333</v>
      </c>
      <c r="M3">
        <v>-150.00133333333332</v>
      </c>
      <c r="N3">
        <v>1315774406.7700064</v>
      </c>
      <c r="O3">
        <v>40842182.896637678</v>
      </c>
      <c r="P3">
        <v>3.1040414440723176</v>
      </c>
      <c r="Q3">
        <v>1501.9212988046454</v>
      </c>
      <c r="R3">
        <v>28.050129393309589</v>
      </c>
      <c r="S3">
        <v>1.0280984953879633</v>
      </c>
      <c r="T3">
        <v>1352745687.8702335</v>
      </c>
      <c r="U3">
        <v>41989786.784393206</v>
      </c>
    </row>
    <row r="4" spans="1:21" x14ac:dyDescent="0.2">
      <c r="A4">
        <v>291</v>
      </c>
      <c r="B4" t="s">
        <v>2</v>
      </c>
      <c r="C4">
        <v>9</v>
      </c>
      <c r="D4" t="s">
        <v>14</v>
      </c>
      <c r="E4" t="s">
        <v>89</v>
      </c>
      <c r="F4" s="2">
        <f t="shared" si="0"/>
        <v>44436</v>
      </c>
      <c r="G4" s="3">
        <f t="shared" si="1"/>
        <v>0.56247685185185181</v>
      </c>
      <c r="H4">
        <v>3823</v>
      </c>
      <c r="I4">
        <v>1014.414</v>
      </c>
      <c r="J4">
        <v>7.51E-2</v>
      </c>
      <c r="K4">
        <v>34.872436161294594</v>
      </c>
      <c r="L4">
        <v>75.000833333333333</v>
      </c>
      <c r="M4">
        <v>-150.00133333333332</v>
      </c>
      <c r="N4">
        <v>1409491984.6257992</v>
      </c>
      <c r="O4">
        <v>44012935.248013146</v>
      </c>
      <c r="P4">
        <v>3.1226098287957256</v>
      </c>
      <c r="Q4">
        <v>1001.430867816092</v>
      </c>
      <c r="R4">
        <v>28.004945288723547</v>
      </c>
      <c r="S4">
        <v>1.0280532006417087</v>
      </c>
      <c r="T4">
        <v>1449032746.0733869</v>
      </c>
      <c r="U4">
        <v>45247638.951356195</v>
      </c>
    </row>
    <row r="5" spans="1:21" x14ac:dyDescent="0.2">
      <c r="A5">
        <v>292</v>
      </c>
      <c r="B5" t="s">
        <v>2</v>
      </c>
      <c r="C5">
        <v>10</v>
      </c>
      <c r="D5" t="s">
        <v>15</v>
      </c>
      <c r="E5" t="s">
        <v>89</v>
      </c>
      <c r="F5" s="2">
        <f t="shared" si="0"/>
        <v>44436</v>
      </c>
      <c r="G5" s="3">
        <f t="shared" si="1"/>
        <v>0.56247685185185181</v>
      </c>
      <c r="H5">
        <v>3823</v>
      </c>
      <c r="I5">
        <v>811.99300000000005</v>
      </c>
      <c r="J5">
        <v>0.33950000000000002</v>
      </c>
      <c r="K5">
        <v>34.861779671722147</v>
      </c>
      <c r="L5">
        <v>75.000833333333333</v>
      </c>
      <c r="M5">
        <v>-150.00133333333332</v>
      </c>
      <c r="N5">
        <v>1433159013.5949016</v>
      </c>
      <c r="O5">
        <v>44778125.233472124</v>
      </c>
      <c r="P5">
        <v>3.1244352377306517</v>
      </c>
      <c r="Q5">
        <v>801.98818477302416</v>
      </c>
      <c r="R5">
        <v>27.981004028867574</v>
      </c>
      <c r="S5">
        <v>1.028029177028478</v>
      </c>
      <c r="T5">
        <v>1473329281.296912</v>
      </c>
      <c r="U5">
        <v>46033219.232644469</v>
      </c>
    </row>
    <row r="6" spans="1:21" x14ac:dyDescent="0.2">
      <c r="A6">
        <v>293</v>
      </c>
      <c r="B6" t="s">
        <v>2</v>
      </c>
      <c r="C6">
        <v>11</v>
      </c>
      <c r="D6" t="s">
        <v>16</v>
      </c>
      <c r="E6" t="s">
        <v>89</v>
      </c>
      <c r="F6" s="2">
        <f t="shared" si="0"/>
        <v>44436</v>
      </c>
      <c r="G6" s="3">
        <f t="shared" ref="G6" si="2">TIMEVALUE(MID(E6,13,8))</f>
        <v>0.56247685185185181</v>
      </c>
      <c r="H6">
        <v>3823</v>
      </c>
      <c r="I6">
        <v>608.64200000000005</v>
      </c>
      <c r="J6">
        <v>0.66110000000000002</v>
      </c>
      <c r="K6">
        <v>34.847950357512516</v>
      </c>
      <c r="L6">
        <v>75.000833333333333</v>
      </c>
      <c r="M6">
        <v>-150.00133333333332</v>
      </c>
      <c r="N6">
        <v>1267383665.487052</v>
      </c>
      <c r="O6">
        <v>39310399.429097615</v>
      </c>
      <c r="P6">
        <v>3.1016968657230359</v>
      </c>
      <c r="Q6">
        <v>601.43582199305888</v>
      </c>
      <c r="R6">
        <v>27.950130248740379</v>
      </c>
      <c r="S6">
        <v>1.0279982047407501</v>
      </c>
      <c r="T6">
        <v>1302868132.8384409</v>
      </c>
      <c r="U6">
        <v>40411020.040754154</v>
      </c>
    </row>
    <row r="7" spans="1:21" x14ac:dyDescent="0.2">
      <c r="A7">
        <v>297</v>
      </c>
      <c r="B7" t="s">
        <v>2</v>
      </c>
      <c r="C7">
        <v>15</v>
      </c>
      <c r="D7" t="s">
        <v>17</v>
      </c>
      <c r="E7" t="s">
        <v>89</v>
      </c>
      <c r="F7" s="2">
        <f t="shared" si="0"/>
        <v>44436</v>
      </c>
      <c r="G7" s="3">
        <f t="shared" si="1"/>
        <v>0.56247685185185181</v>
      </c>
      <c r="H7">
        <v>3823</v>
      </c>
      <c r="I7">
        <v>341.529</v>
      </c>
      <c r="J7">
        <v>0.16139999999999999</v>
      </c>
      <c r="K7">
        <v>34.604916572196906</v>
      </c>
      <c r="L7">
        <v>75.000833333333333</v>
      </c>
      <c r="M7">
        <v>-150.00133333333332</v>
      </c>
      <c r="N7">
        <v>1903569993.3646801</v>
      </c>
      <c r="O7">
        <v>58699020.802151032</v>
      </c>
      <c r="P7">
        <v>3.0836281831905117</v>
      </c>
      <c r="Q7">
        <v>337.70245319464988</v>
      </c>
      <c r="R7">
        <v>27.783535350857164</v>
      </c>
      <c r="S7">
        <v>1.0278317781814239</v>
      </c>
      <c r="T7">
        <v>1956549731.1728203</v>
      </c>
      <c r="U7">
        <v>60332718.928583287</v>
      </c>
    </row>
    <row r="8" spans="1:21" x14ac:dyDescent="0.2">
      <c r="A8">
        <v>300</v>
      </c>
      <c r="B8" t="s">
        <v>2</v>
      </c>
      <c r="C8">
        <v>18</v>
      </c>
      <c r="D8" t="s">
        <v>18</v>
      </c>
      <c r="E8" t="s">
        <v>89</v>
      </c>
      <c r="F8" s="2">
        <f t="shared" si="0"/>
        <v>44436</v>
      </c>
      <c r="G8" s="3">
        <f t="shared" si="1"/>
        <v>0.56247685185185181</v>
      </c>
      <c r="H8">
        <v>3823</v>
      </c>
      <c r="I8">
        <v>256.447</v>
      </c>
      <c r="J8">
        <v>-1.1677</v>
      </c>
      <c r="K8">
        <v>33.687224628766259</v>
      </c>
      <c r="L8">
        <v>75.000833333333333</v>
      </c>
      <c r="M8">
        <v>-150.00133333333332</v>
      </c>
      <c r="N8">
        <v>313820399.77769732</v>
      </c>
      <c r="O8">
        <v>10391615.400934996</v>
      </c>
      <c r="P8">
        <v>3.3113256526013486</v>
      </c>
      <c r="Q8">
        <v>253.62583300418632</v>
      </c>
      <c r="R8">
        <v>27.101442633360875</v>
      </c>
      <c r="S8">
        <v>1.027150182429579</v>
      </c>
      <c r="T8">
        <v>322340680.88178521</v>
      </c>
      <c r="U8">
        <v>10673749.654808404</v>
      </c>
    </row>
    <row r="9" spans="1:21" x14ac:dyDescent="0.2">
      <c r="A9">
        <v>304</v>
      </c>
      <c r="B9" t="s">
        <v>2</v>
      </c>
      <c r="C9">
        <v>22</v>
      </c>
      <c r="D9" t="s">
        <v>19</v>
      </c>
      <c r="E9" t="s">
        <v>89</v>
      </c>
      <c r="F9" s="2">
        <f t="shared" si="0"/>
        <v>44436</v>
      </c>
      <c r="G9" s="3">
        <f t="shared" si="1"/>
        <v>0.56247685185185181</v>
      </c>
      <c r="H9">
        <v>3823</v>
      </c>
      <c r="I9">
        <v>136.12799999999999</v>
      </c>
      <c r="J9">
        <v>-1.2303999999999999</v>
      </c>
      <c r="K9">
        <v>32.310499995893025</v>
      </c>
      <c r="L9">
        <v>75.000833333333333</v>
      </c>
      <c r="M9">
        <v>-150.00133333333332</v>
      </c>
      <c r="N9">
        <v>76622553.351987273</v>
      </c>
      <c r="O9">
        <v>4265016.6312188366</v>
      </c>
      <c r="P9">
        <v>5.5662679519779017</v>
      </c>
      <c r="Q9">
        <v>134.66965706614661</v>
      </c>
      <c r="R9">
        <v>25.989850395677195</v>
      </c>
      <c r="S9">
        <v>1.0260387352732518</v>
      </c>
      <c r="T9">
        <v>78617707.73468028</v>
      </c>
      <c r="U9">
        <v>4376072.2702151602</v>
      </c>
    </row>
    <row r="10" spans="1:21" x14ac:dyDescent="0.2">
      <c r="A10">
        <v>305</v>
      </c>
      <c r="B10" t="s">
        <v>2</v>
      </c>
      <c r="C10">
        <v>23</v>
      </c>
      <c r="D10" t="s">
        <v>20</v>
      </c>
      <c r="E10" t="s">
        <v>89</v>
      </c>
      <c r="F10" s="2">
        <f t="shared" si="0"/>
        <v>44436</v>
      </c>
      <c r="G10" s="3">
        <f t="shared" si="1"/>
        <v>0.56247685185185181</v>
      </c>
      <c r="H10">
        <v>3823</v>
      </c>
      <c r="I10">
        <v>99.587999999999994</v>
      </c>
      <c r="J10">
        <v>-0.61880000000000002</v>
      </c>
      <c r="K10">
        <v>31.865965591020622</v>
      </c>
      <c r="L10">
        <v>75.000833333333333</v>
      </c>
      <c r="M10">
        <v>-150.00133333333332</v>
      </c>
      <c r="N10">
        <v>130898251.27630353</v>
      </c>
      <c r="O10">
        <v>5434519.3446768969</v>
      </c>
      <c r="P10">
        <v>4.1517127170824981</v>
      </c>
      <c r="Q10">
        <v>98.529833870673201</v>
      </c>
      <c r="R10">
        <v>25.608085437460886</v>
      </c>
      <c r="S10">
        <v>1.0256568144835094</v>
      </c>
      <c r="T10">
        <v>134256683.42551544</v>
      </c>
      <c r="U10">
        <v>5573951.7993103154</v>
      </c>
    </row>
    <row r="11" spans="1:21" x14ac:dyDescent="0.2">
      <c r="A11">
        <v>306</v>
      </c>
      <c r="B11" t="s">
        <v>2</v>
      </c>
      <c r="C11">
        <v>24</v>
      </c>
      <c r="D11" t="s">
        <v>21</v>
      </c>
      <c r="E11" t="s">
        <v>89</v>
      </c>
      <c r="F11" s="2">
        <f t="shared" si="0"/>
        <v>44436</v>
      </c>
      <c r="G11" s="3">
        <f t="shared" si="1"/>
        <v>0.56247685185185181</v>
      </c>
      <c r="H11">
        <v>3823</v>
      </c>
      <c r="I11">
        <v>65.653999999999996</v>
      </c>
      <c r="J11">
        <v>0.80079999999999996</v>
      </c>
      <c r="K11">
        <v>31.007257743746244</v>
      </c>
      <c r="L11">
        <v>75.000833333333333</v>
      </c>
      <c r="M11">
        <v>-150.00133333333332</v>
      </c>
      <c r="N11">
        <v>179563078.35257348</v>
      </c>
      <c r="O11">
        <v>6623485.2828127854</v>
      </c>
      <c r="P11">
        <v>3.6886677058451407</v>
      </c>
      <c r="Q11">
        <v>64.961741794522482</v>
      </c>
      <c r="R11">
        <v>24.851700921441534</v>
      </c>
      <c r="S11">
        <v>1.0249000643480184</v>
      </c>
      <c r="T11">
        <v>184034210.55808082</v>
      </c>
      <c r="U11">
        <v>6788410.4925629767</v>
      </c>
    </row>
    <row r="12" spans="1:21" x14ac:dyDescent="0.2">
      <c r="A12">
        <v>335</v>
      </c>
      <c r="B12" t="s">
        <v>3</v>
      </c>
      <c r="C12">
        <v>5</v>
      </c>
      <c r="D12" t="s">
        <v>22</v>
      </c>
      <c r="E12" t="s">
        <v>90</v>
      </c>
      <c r="F12" s="2">
        <f t="shared" si="0"/>
        <v>44437</v>
      </c>
      <c r="G12" s="3">
        <f t="shared" si="1"/>
        <v>0.29310185185185184</v>
      </c>
      <c r="H12">
        <v>3841</v>
      </c>
      <c r="I12">
        <v>1523.1089999999999</v>
      </c>
      <c r="J12">
        <v>-0.25609999999999999</v>
      </c>
      <c r="K12">
        <v>34.90376254971865</v>
      </c>
      <c r="L12">
        <v>75.304500000000004</v>
      </c>
      <c r="M12">
        <v>-153.32016666666667</v>
      </c>
      <c r="N12">
        <v>2338271131.5434017</v>
      </c>
      <c r="O12">
        <v>72137232.214332178</v>
      </c>
      <c r="P12">
        <v>3.0850670498043229</v>
      </c>
      <c r="Q12">
        <v>1501.7805588432179</v>
      </c>
      <c r="R12">
        <v>28.049251769682087</v>
      </c>
      <c r="S12">
        <v>1.028097614214271</v>
      </c>
      <c r="T12">
        <v>2403970971.7258754</v>
      </c>
      <c r="U12">
        <v>74164116.335575774</v>
      </c>
    </row>
    <row r="13" spans="1:21" x14ac:dyDescent="0.2">
      <c r="A13">
        <v>336</v>
      </c>
      <c r="B13" t="s">
        <v>3</v>
      </c>
      <c r="C13">
        <v>6</v>
      </c>
      <c r="D13" t="s">
        <v>23</v>
      </c>
      <c r="E13" t="s">
        <v>90</v>
      </c>
      <c r="F13" s="2">
        <f t="shared" si="0"/>
        <v>44437</v>
      </c>
      <c r="G13" s="3">
        <f t="shared" si="1"/>
        <v>0.29310185185185184</v>
      </c>
      <c r="H13">
        <v>3841</v>
      </c>
      <c r="I13">
        <v>1014.825</v>
      </c>
      <c r="J13">
        <v>0.11650000000000001</v>
      </c>
      <c r="K13">
        <v>34.878040123738387</v>
      </c>
      <c r="L13">
        <v>75.304500000000004</v>
      </c>
      <c r="M13">
        <v>-153.32016666666667</v>
      </c>
      <c r="N13">
        <v>1093640866.0241594</v>
      </c>
      <c r="O13">
        <v>34378479.909828782</v>
      </c>
      <c r="P13">
        <v>3.1434889622229361</v>
      </c>
      <c r="Q13">
        <v>1001.8216967911976</v>
      </c>
      <c r="R13">
        <v>28.007206945987264</v>
      </c>
      <c r="S13">
        <v>1.028055449246174</v>
      </c>
      <c r="T13">
        <v>1124323451.8344419</v>
      </c>
      <c r="U13">
        <v>35342983.608099595</v>
      </c>
    </row>
    <row r="14" spans="1:21" x14ac:dyDescent="0.2">
      <c r="A14">
        <v>337</v>
      </c>
      <c r="B14" t="s">
        <v>3</v>
      </c>
      <c r="C14">
        <v>7</v>
      </c>
      <c r="D14" t="s">
        <v>24</v>
      </c>
      <c r="E14" t="s">
        <v>90</v>
      </c>
      <c r="F14" s="2">
        <f t="shared" si="0"/>
        <v>44437</v>
      </c>
      <c r="G14" s="3">
        <f t="shared" ref="G14" si="3">TIMEVALUE(MID(E14,13,8))</f>
        <v>0.29310185185185184</v>
      </c>
      <c r="H14">
        <v>3841</v>
      </c>
      <c r="I14">
        <v>812.15200000000004</v>
      </c>
      <c r="J14">
        <v>0.38840000000000002</v>
      </c>
      <c r="K14">
        <v>34.869429955265915</v>
      </c>
      <c r="L14">
        <v>75.304500000000004</v>
      </c>
      <c r="M14">
        <v>-153.32016666666667</v>
      </c>
      <c r="N14">
        <v>2421055594.1357021</v>
      </c>
      <c r="O14">
        <v>75074296.716142029</v>
      </c>
      <c r="P14">
        <v>3.1008910699113028</v>
      </c>
      <c r="Q14">
        <v>802.13376748075382</v>
      </c>
      <c r="R14">
        <v>27.984331169660891</v>
      </c>
      <c r="S14">
        <v>1.0280324887671104</v>
      </c>
      <c r="T14">
        <v>2488923807.8828611</v>
      </c>
      <c r="U14">
        <v>77178816.095535994</v>
      </c>
    </row>
    <row r="15" spans="1:21" x14ac:dyDescent="0.2">
      <c r="A15">
        <v>338</v>
      </c>
      <c r="B15" t="s">
        <v>3</v>
      </c>
      <c r="C15">
        <v>8</v>
      </c>
      <c r="D15" t="s">
        <v>25</v>
      </c>
      <c r="E15" t="s">
        <v>90</v>
      </c>
      <c r="F15" s="2">
        <f t="shared" si="0"/>
        <v>44437</v>
      </c>
      <c r="G15" s="3">
        <f t="shared" si="1"/>
        <v>0.29310185185185184</v>
      </c>
      <c r="H15">
        <v>3841</v>
      </c>
      <c r="I15">
        <v>608.87400000000002</v>
      </c>
      <c r="J15">
        <v>0.74099999999999999</v>
      </c>
      <c r="K15">
        <v>34.858177750909036</v>
      </c>
      <c r="L15">
        <v>75.304500000000004</v>
      </c>
      <c r="M15">
        <v>-153.32016666666667</v>
      </c>
      <c r="N15">
        <v>1624036121.5145013</v>
      </c>
      <c r="O15">
        <v>50091379.2005779</v>
      </c>
      <c r="P15">
        <v>3.0843759284039192</v>
      </c>
      <c r="Q15">
        <v>601.65637420339874</v>
      </c>
      <c r="R15">
        <v>27.953356029593579</v>
      </c>
      <c r="S15">
        <v>1.028001405793701</v>
      </c>
      <c r="T15">
        <v>1669511415.9766572</v>
      </c>
      <c r="U15">
        <v>51494008.236339435</v>
      </c>
    </row>
    <row r="16" spans="1:21" x14ac:dyDescent="0.2">
      <c r="A16">
        <v>342</v>
      </c>
      <c r="B16" t="s">
        <v>3</v>
      </c>
      <c r="C16">
        <v>12</v>
      </c>
      <c r="D16" t="s">
        <v>26</v>
      </c>
      <c r="E16" t="s">
        <v>90</v>
      </c>
      <c r="F16" s="2">
        <f t="shared" si="0"/>
        <v>44437</v>
      </c>
      <c r="G16" s="3">
        <f t="shared" si="1"/>
        <v>0.29310185185185184</v>
      </c>
      <c r="H16">
        <v>3841</v>
      </c>
      <c r="I16">
        <v>332.61799999999999</v>
      </c>
      <c r="J16">
        <v>0.19689999999999999</v>
      </c>
      <c r="K16">
        <v>34.62195482493572</v>
      </c>
      <c r="L16">
        <v>75.304500000000004</v>
      </c>
      <c r="M16">
        <v>-153.32016666666667</v>
      </c>
      <c r="N16">
        <v>2005892437.7032073</v>
      </c>
      <c r="O16">
        <v>61742738.125551492</v>
      </c>
      <c r="P16">
        <v>3.0780682435917819</v>
      </c>
      <c r="Q16">
        <v>328.89379307898867</v>
      </c>
      <c r="R16">
        <v>27.795207055338778</v>
      </c>
      <c r="S16">
        <v>1.0278434374573155</v>
      </c>
      <c r="T16">
        <v>2061743378.3384988</v>
      </c>
      <c r="U16">
        <v>63461868.192993701</v>
      </c>
    </row>
    <row r="17" spans="1:21" x14ac:dyDescent="0.2">
      <c r="A17">
        <v>345</v>
      </c>
      <c r="B17" t="s">
        <v>3</v>
      </c>
      <c r="C17">
        <v>15</v>
      </c>
      <c r="D17" t="s">
        <v>27</v>
      </c>
      <c r="E17" t="s">
        <v>90</v>
      </c>
      <c r="F17" s="2">
        <f t="shared" si="0"/>
        <v>44437</v>
      </c>
      <c r="G17" s="3">
        <f t="shared" si="1"/>
        <v>0.29310185185185184</v>
      </c>
      <c r="H17">
        <v>3841</v>
      </c>
      <c r="I17">
        <v>250.39500000000001</v>
      </c>
      <c r="J17">
        <v>-1.1166</v>
      </c>
      <c r="K17">
        <v>33.687325074808633</v>
      </c>
      <c r="L17">
        <v>75.304500000000004</v>
      </c>
      <c r="M17">
        <v>-153.32016666666667</v>
      </c>
      <c r="N17">
        <v>395243286.93233663</v>
      </c>
      <c r="O17">
        <v>12799851.058405841</v>
      </c>
      <c r="P17">
        <v>3.2384739935120268</v>
      </c>
      <c r="Q17">
        <v>247.64058981331061</v>
      </c>
      <c r="R17">
        <v>27.099814553434953</v>
      </c>
      <c r="S17">
        <v>1.0271485379237086</v>
      </c>
      <c r="T17">
        <v>405973564.29671043</v>
      </c>
      <c r="U17">
        <v>13147348.300282793</v>
      </c>
    </row>
    <row r="18" spans="1:21" x14ac:dyDescent="0.2">
      <c r="A18">
        <v>349</v>
      </c>
      <c r="B18" t="s">
        <v>3</v>
      </c>
      <c r="C18">
        <v>19</v>
      </c>
      <c r="D18" t="s">
        <v>28</v>
      </c>
      <c r="E18" t="s">
        <v>90</v>
      </c>
      <c r="F18" s="2">
        <f t="shared" si="0"/>
        <v>44437</v>
      </c>
      <c r="G18" s="3">
        <f t="shared" si="1"/>
        <v>0.29310185185185184</v>
      </c>
      <c r="H18">
        <v>3841</v>
      </c>
      <c r="I18">
        <v>134.52000000000001</v>
      </c>
      <c r="J18">
        <v>-1.2104999999999999</v>
      </c>
      <c r="K18">
        <v>32.339406602996924</v>
      </c>
      <c r="L18">
        <v>75.304500000000004</v>
      </c>
      <c r="M18">
        <v>-153.32016666666667</v>
      </c>
      <c r="N18">
        <v>85135310.951895416</v>
      </c>
      <c r="O18">
        <v>4452211.1320207315</v>
      </c>
      <c r="P18">
        <v>5.2295705298314994</v>
      </c>
      <c r="Q18">
        <v>133.07755145151168</v>
      </c>
      <c r="R18">
        <v>26.013332122817928</v>
      </c>
      <c r="S18">
        <v>1.0260622078215529</v>
      </c>
      <c r="T18">
        <v>87354125.118876249</v>
      </c>
      <c r="U18">
        <v>4568245.5838088868</v>
      </c>
    </row>
    <row r="19" spans="1:21" x14ac:dyDescent="0.2">
      <c r="A19">
        <v>351</v>
      </c>
      <c r="B19" t="s">
        <v>3</v>
      </c>
      <c r="C19">
        <v>21</v>
      </c>
      <c r="D19" t="s">
        <v>29</v>
      </c>
      <c r="E19" t="s">
        <v>90</v>
      </c>
      <c r="F19" s="2">
        <f t="shared" si="0"/>
        <v>44437</v>
      </c>
      <c r="G19" s="3">
        <f t="shared" si="1"/>
        <v>0.29310185185185184</v>
      </c>
      <c r="H19">
        <v>3841</v>
      </c>
      <c r="I19">
        <v>63.094999999999999</v>
      </c>
      <c r="J19">
        <v>0.26369999999999999</v>
      </c>
      <c r="K19">
        <v>31.01988292888684</v>
      </c>
      <c r="L19">
        <v>75.304500000000004</v>
      </c>
      <c r="M19">
        <v>-153.32016666666667</v>
      </c>
      <c r="N19">
        <v>172095653.78892463</v>
      </c>
      <c r="O19">
        <v>6432264.6637613075</v>
      </c>
      <c r="P19">
        <v>3.7376101732647364</v>
      </c>
      <c r="Q19">
        <v>62.429243338927769</v>
      </c>
      <c r="R19">
        <v>24.888670896627445</v>
      </c>
      <c r="S19">
        <v>1.0249371984331062</v>
      </c>
      <c r="T19">
        <v>176387237.2569342</v>
      </c>
      <c r="U19">
        <v>6592667.3240557797</v>
      </c>
    </row>
    <row r="20" spans="1:21" x14ac:dyDescent="0.2">
      <c r="A20">
        <v>354</v>
      </c>
      <c r="B20" t="s">
        <v>3</v>
      </c>
      <c r="C20">
        <v>24</v>
      </c>
      <c r="D20" t="s">
        <v>30</v>
      </c>
      <c r="E20" t="s">
        <v>90</v>
      </c>
      <c r="F20" s="2">
        <f t="shared" si="0"/>
        <v>44437</v>
      </c>
      <c r="G20" s="3">
        <f t="shared" si="1"/>
        <v>0.29310185185185184</v>
      </c>
      <c r="H20">
        <v>3841</v>
      </c>
      <c r="I20">
        <v>20.943000000000001</v>
      </c>
      <c r="J20">
        <v>-1.0357000000000001</v>
      </c>
      <c r="K20">
        <v>28.124187891120496</v>
      </c>
      <c r="L20">
        <v>75.304500000000004</v>
      </c>
      <c r="M20">
        <v>-153.32016666666667</v>
      </c>
      <c r="N20">
        <v>175360230.67594141</v>
      </c>
      <c r="O20">
        <v>6518345.3437418528</v>
      </c>
      <c r="P20">
        <v>3.7171172269883077</v>
      </c>
      <c r="Q20">
        <v>20.724136072659537</v>
      </c>
      <c r="R20">
        <v>22.591628685266414</v>
      </c>
      <c r="S20">
        <v>1.0226408347199352</v>
      </c>
      <c r="T20">
        <v>179330532.67512509</v>
      </c>
      <c r="U20">
        <v>6665926.1233169707</v>
      </c>
    </row>
    <row r="21" spans="1:21" x14ac:dyDescent="0.2">
      <c r="A21">
        <v>782</v>
      </c>
      <c r="B21" t="s">
        <v>4</v>
      </c>
      <c r="C21">
        <v>1</v>
      </c>
      <c r="D21" t="s">
        <v>31</v>
      </c>
      <c r="E21" t="s">
        <v>91</v>
      </c>
      <c r="F21" s="2">
        <f t="shared" si="0"/>
        <v>44446</v>
      </c>
      <c r="G21" s="3">
        <f t="shared" si="1"/>
        <v>0.91355324074074074</v>
      </c>
      <c r="H21">
        <v>3525</v>
      </c>
      <c r="I21">
        <v>5.157</v>
      </c>
      <c r="J21">
        <v>-1.3724000000000001</v>
      </c>
      <c r="K21">
        <v>26.575973636721617</v>
      </c>
      <c r="L21">
        <v>74.002833333333328</v>
      </c>
      <c r="M21">
        <v>-140.02016666666665</v>
      </c>
      <c r="N21">
        <v>258400241.07130069</v>
      </c>
      <c r="O21">
        <v>8796290.7544146888</v>
      </c>
      <c r="P21">
        <v>3.404134113012502</v>
      </c>
      <c r="Q21">
        <v>5.1036159598558397</v>
      </c>
      <c r="R21">
        <v>21.341792018463934</v>
      </c>
      <c r="S21">
        <v>1.0213912537307053</v>
      </c>
      <c r="T21">
        <v>263927746.19213229</v>
      </c>
      <c r="U21">
        <v>8984454.4418314304</v>
      </c>
    </row>
    <row r="22" spans="1:21" x14ac:dyDescent="0.2">
      <c r="A22">
        <v>790</v>
      </c>
      <c r="B22" t="s">
        <v>4</v>
      </c>
      <c r="C22">
        <v>9</v>
      </c>
      <c r="D22" t="s">
        <v>32</v>
      </c>
      <c r="E22" t="s">
        <v>91</v>
      </c>
      <c r="F22" s="2">
        <f t="shared" si="0"/>
        <v>44446</v>
      </c>
      <c r="G22" s="3">
        <f t="shared" si="1"/>
        <v>0.91355324074074074</v>
      </c>
      <c r="H22">
        <v>3525</v>
      </c>
      <c r="I22">
        <v>150.56800000000001</v>
      </c>
      <c r="J22">
        <v>-1.2000999999999999</v>
      </c>
      <c r="K22">
        <v>32.292420635283214</v>
      </c>
      <c r="L22">
        <v>74.002833333333328</v>
      </c>
      <c r="M22">
        <v>-140.02016666666665</v>
      </c>
      <c r="N22">
        <v>78488489.386811063</v>
      </c>
      <c r="O22">
        <v>4288906.4344807463</v>
      </c>
      <c r="P22">
        <v>5.4643763282841826</v>
      </c>
      <c r="Q22">
        <v>148.95682797519797</v>
      </c>
      <c r="R22">
        <v>25.973230269542682</v>
      </c>
      <c r="S22">
        <v>1.0260221072231717</v>
      </c>
      <c r="T22">
        <v>80530925.273419425</v>
      </c>
      <c r="U22">
        <v>4400512.8175889552</v>
      </c>
    </row>
    <row r="23" spans="1:21" x14ac:dyDescent="0.2">
      <c r="A23">
        <v>802</v>
      </c>
      <c r="B23" t="s">
        <v>4</v>
      </c>
      <c r="C23">
        <v>21</v>
      </c>
      <c r="D23" t="s">
        <v>33</v>
      </c>
      <c r="E23" t="s">
        <v>91</v>
      </c>
      <c r="F23" s="2">
        <f t="shared" si="0"/>
        <v>44446</v>
      </c>
      <c r="G23" s="3">
        <f t="shared" si="1"/>
        <v>0.91355324074074074</v>
      </c>
      <c r="H23">
        <v>3525</v>
      </c>
      <c r="I23">
        <v>20.254000000000001</v>
      </c>
      <c r="J23">
        <v>-1.3555999999999999</v>
      </c>
      <c r="K23">
        <v>26.374843136505646</v>
      </c>
      <c r="L23">
        <v>74.002833333333328</v>
      </c>
      <c r="M23">
        <v>-140.02016666666665</v>
      </c>
      <c r="N23">
        <v>182871570.22529975</v>
      </c>
      <c r="O23">
        <v>6713404.8826469183</v>
      </c>
      <c r="P23">
        <v>3.6711036463327411</v>
      </c>
      <c r="Q23">
        <v>20.043600812130816</v>
      </c>
      <c r="R23">
        <v>21.178753450028012</v>
      </c>
      <c r="S23">
        <v>1.0212282282546163</v>
      </c>
      <c r="T23">
        <v>186753609.6593225</v>
      </c>
      <c r="U23">
        <v>6855918.5738614034</v>
      </c>
    </row>
    <row r="24" spans="1:21" x14ac:dyDescent="0.2">
      <c r="A24">
        <v>809</v>
      </c>
      <c r="B24" t="s">
        <v>4</v>
      </c>
      <c r="C24">
        <v>4</v>
      </c>
      <c r="D24" t="s">
        <v>34</v>
      </c>
      <c r="E24" t="s">
        <v>92</v>
      </c>
      <c r="F24" s="2">
        <f t="shared" si="0"/>
        <v>44447</v>
      </c>
      <c r="G24" s="3">
        <f t="shared" si="1"/>
        <v>1.4456018518518519E-2</v>
      </c>
      <c r="H24">
        <v>3525</v>
      </c>
      <c r="I24">
        <v>3485.2539999999999</v>
      </c>
      <c r="J24">
        <v>-0.28489999999999999</v>
      </c>
      <c r="K24">
        <v>34.956483554745425</v>
      </c>
      <c r="L24">
        <v>73.997</v>
      </c>
      <c r="M24">
        <v>-140.07883333333334</v>
      </c>
      <c r="N24">
        <v>298512.67818281776</v>
      </c>
      <c r="O24">
        <v>3680233.395293755</v>
      </c>
      <c r="P24">
        <v>1232.8566470600199</v>
      </c>
      <c r="Q24">
        <v>3421.0507207409055</v>
      </c>
      <c r="R24">
        <v>28.101239315503108</v>
      </c>
      <c r="S24">
        <v>1.0281496522105011</v>
      </c>
      <c r="T24">
        <v>306915.70625408931</v>
      </c>
      <c r="U24">
        <v>3783830.685424746</v>
      </c>
    </row>
    <row r="25" spans="1:21" x14ac:dyDescent="0.2">
      <c r="A25">
        <v>811</v>
      </c>
      <c r="B25" t="s">
        <v>4</v>
      </c>
      <c r="C25">
        <v>6</v>
      </c>
      <c r="D25" t="s">
        <v>35</v>
      </c>
      <c r="E25" t="s">
        <v>92</v>
      </c>
      <c r="F25" s="2">
        <f t="shared" si="0"/>
        <v>44447</v>
      </c>
      <c r="G25" s="3">
        <f t="shared" si="1"/>
        <v>1.4456018518518519E-2</v>
      </c>
      <c r="H25">
        <v>3525</v>
      </c>
      <c r="I25">
        <v>2543.2370000000001</v>
      </c>
      <c r="J25">
        <v>-0.37659999999999999</v>
      </c>
      <c r="K25">
        <v>34.952211339970667</v>
      </c>
      <c r="L25">
        <v>73.997</v>
      </c>
      <c r="M25">
        <v>-140.07883333333334</v>
      </c>
      <c r="N25">
        <v>24772080.50332702</v>
      </c>
      <c r="O25">
        <v>3532336.6930972496</v>
      </c>
      <c r="P25">
        <v>14.259346091753732</v>
      </c>
      <c r="Q25">
        <v>2501.7987271476118</v>
      </c>
      <c r="R25">
        <v>28.097982518774415</v>
      </c>
      <c r="S25">
        <v>1.0281463991119071</v>
      </c>
      <c r="T25">
        <v>25469325.368005954</v>
      </c>
      <c r="U25">
        <v>3631759.251458799</v>
      </c>
    </row>
    <row r="26" spans="1:21" x14ac:dyDescent="0.2">
      <c r="A26">
        <v>812</v>
      </c>
      <c r="B26" t="s">
        <v>4</v>
      </c>
      <c r="C26">
        <v>7</v>
      </c>
      <c r="D26" t="s">
        <v>36</v>
      </c>
      <c r="E26" t="s">
        <v>92</v>
      </c>
      <c r="F26" s="2">
        <f t="shared" si="0"/>
        <v>44447</v>
      </c>
      <c r="G26" s="3">
        <f t="shared" si="1"/>
        <v>1.4456018518518519E-2</v>
      </c>
      <c r="H26">
        <v>3525</v>
      </c>
      <c r="I26">
        <v>2032.742</v>
      </c>
      <c r="J26">
        <v>-0.40250000000000002</v>
      </c>
      <c r="K26">
        <v>34.939807655105135</v>
      </c>
      <c r="L26">
        <v>73.997</v>
      </c>
      <c r="M26">
        <v>-140.07883333333334</v>
      </c>
      <c r="N26">
        <v>164092117.57673681</v>
      </c>
      <c r="O26">
        <v>6366327.944360964</v>
      </c>
      <c r="P26">
        <v>3.8797280688292566</v>
      </c>
      <c r="Q26">
        <v>2002.0006084775323</v>
      </c>
      <c r="R26">
        <v>28.087347339519511</v>
      </c>
      <c r="S26">
        <v>1.0281357615111142</v>
      </c>
      <c r="T26">
        <v>168708974.26272959</v>
      </c>
      <c r="U26">
        <v>6545449.4291050462</v>
      </c>
    </row>
    <row r="27" spans="1:21" x14ac:dyDescent="0.2">
      <c r="A27">
        <v>813</v>
      </c>
      <c r="B27" t="s">
        <v>4</v>
      </c>
      <c r="C27">
        <v>8</v>
      </c>
      <c r="D27" t="s">
        <v>37</v>
      </c>
      <c r="E27" t="s">
        <v>92</v>
      </c>
      <c r="F27" s="2">
        <f t="shared" si="0"/>
        <v>44447</v>
      </c>
      <c r="G27" s="3">
        <f t="shared" si="1"/>
        <v>1.4456018518518519E-2</v>
      </c>
      <c r="H27">
        <v>3525</v>
      </c>
      <c r="I27">
        <v>1522.9359999999999</v>
      </c>
      <c r="J27">
        <v>-0.28410000000000002</v>
      </c>
      <c r="K27">
        <v>34.910661044928617</v>
      </c>
      <c r="L27">
        <v>73.997</v>
      </c>
      <c r="M27">
        <v>-140.07883333333334</v>
      </c>
      <c r="N27">
        <v>621365516.75768912</v>
      </c>
      <c r="O27">
        <v>19716418.066645272</v>
      </c>
      <c r="P27">
        <v>3.1730788939699059</v>
      </c>
      <c r="Q27">
        <v>1501.7032265592775</v>
      </c>
      <c r="R27">
        <v>28.056273257456269</v>
      </c>
      <c r="S27">
        <v>1.0281046436489996</v>
      </c>
      <c r="T27">
        <v>638828773.18194044</v>
      </c>
      <c r="U27">
        <v>20270540.970443033</v>
      </c>
    </row>
    <row r="28" spans="1:21" x14ac:dyDescent="0.2">
      <c r="A28">
        <v>817</v>
      </c>
      <c r="B28" t="s">
        <v>4</v>
      </c>
      <c r="C28">
        <v>12</v>
      </c>
      <c r="D28" t="s">
        <v>38</v>
      </c>
      <c r="E28" t="s">
        <v>92</v>
      </c>
      <c r="F28" s="2">
        <f t="shared" si="0"/>
        <v>44447</v>
      </c>
      <c r="G28" s="3">
        <f t="shared" si="1"/>
        <v>1.4456018518518519E-2</v>
      </c>
      <c r="H28">
        <v>3525</v>
      </c>
      <c r="I28">
        <v>1013.367</v>
      </c>
      <c r="J28">
        <v>5.0099999999999999E-2</v>
      </c>
      <c r="K28">
        <v>34.875198185202969</v>
      </c>
      <c r="L28">
        <v>73.997</v>
      </c>
      <c r="M28">
        <v>-140.07883333333334</v>
      </c>
      <c r="N28">
        <v>761361235.36278582</v>
      </c>
      <c r="O28">
        <v>24078915.011019018</v>
      </c>
      <c r="P28">
        <v>3.1626137361124647</v>
      </c>
      <c r="Q28">
        <v>1000.4475710220908</v>
      </c>
      <c r="R28">
        <v>28.00851012565704</v>
      </c>
      <c r="S28">
        <v>1.0280567728130103</v>
      </c>
      <c r="T28">
        <v>782722574.5719924</v>
      </c>
      <c r="U28">
        <v>24754491.659066964</v>
      </c>
    </row>
    <row r="29" spans="1:21" x14ac:dyDescent="0.2">
      <c r="A29">
        <v>818</v>
      </c>
      <c r="B29" t="s">
        <v>4</v>
      </c>
      <c r="C29">
        <v>13</v>
      </c>
      <c r="D29" t="s">
        <v>39</v>
      </c>
      <c r="E29" t="s">
        <v>92</v>
      </c>
      <c r="F29" s="2">
        <f t="shared" si="0"/>
        <v>44447</v>
      </c>
      <c r="G29" s="3">
        <f t="shared" si="1"/>
        <v>1.4456018518518519E-2</v>
      </c>
      <c r="H29">
        <v>3525</v>
      </c>
      <c r="I29">
        <v>812.16700000000003</v>
      </c>
      <c r="J29">
        <v>0.31140000000000001</v>
      </c>
      <c r="K29">
        <v>34.861908909360267</v>
      </c>
      <c r="L29">
        <v>73.997</v>
      </c>
      <c r="M29">
        <v>-140.07883333333334</v>
      </c>
      <c r="N29">
        <v>942086024.76128757</v>
      </c>
      <c r="O29">
        <v>29658060.973304316</v>
      </c>
      <c r="P29">
        <v>3.1481266247229689</v>
      </c>
      <c r="Q29">
        <v>802.19804064186644</v>
      </c>
      <c r="R29">
        <v>27.982691247662615</v>
      </c>
      <c r="S29">
        <v>1.0280308727176808</v>
      </c>
      <c r="T29">
        <v>968493518.21047711</v>
      </c>
      <c r="U29">
        <v>30489402.305500224</v>
      </c>
    </row>
    <row r="30" spans="1:21" x14ac:dyDescent="0.2">
      <c r="A30">
        <v>819</v>
      </c>
      <c r="B30" t="s">
        <v>4</v>
      </c>
      <c r="C30">
        <v>14</v>
      </c>
      <c r="D30" t="s">
        <v>40</v>
      </c>
      <c r="E30" t="s">
        <v>92</v>
      </c>
      <c r="F30" s="2">
        <f t="shared" si="0"/>
        <v>44447</v>
      </c>
      <c r="G30" s="3">
        <f t="shared" si="1"/>
        <v>1.4456018518518519E-2</v>
      </c>
      <c r="H30">
        <v>3525</v>
      </c>
      <c r="I30">
        <v>609.36099999999999</v>
      </c>
      <c r="J30">
        <v>0.62760000000000005</v>
      </c>
      <c r="K30">
        <v>34.84750951168882</v>
      </c>
      <c r="L30">
        <v>73.997</v>
      </c>
      <c r="M30">
        <v>-140.07883333333334</v>
      </c>
      <c r="N30">
        <v>955299260.93718791</v>
      </c>
      <c r="O30">
        <v>30064955.511455882</v>
      </c>
      <c r="P30">
        <v>3.1471766744549687</v>
      </c>
      <c r="Q30">
        <v>602.17404558300518</v>
      </c>
      <c r="R30">
        <v>27.951816979288878</v>
      </c>
      <c r="S30">
        <v>1.0279999015369701</v>
      </c>
      <c r="T30">
        <v>982047546.18176949</v>
      </c>
      <c r="U30">
        <v>30906771.305490032</v>
      </c>
    </row>
    <row r="31" spans="1:21" x14ac:dyDescent="0.2">
      <c r="A31">
        <v>825</v>
      </c>
      <c r="B31" t="s">
        <v>4</v>
      </c>
      <c r="C31">
        <v>20</v>
      </c>
      <c r="D31" t="s">
        <v>41</v>
      </c>
      <c r="E31" t="s">
        <v>92</v>
      </c>
      <c r="F31" s="2">
        <f t="shared" si="0"/>
        <v>44447</v>
      </c>
      <c r="G31" s="3">
        <f t="shared" si="1"/>
        <v>1.4456018518518519E-2</v>
      </c>
      <c r="H31">
        <v>3525</v>
      </c>
      <c r="I31">
        <v>383.51299999999998</v>
      </c>
      <c r="J31">
        <v>0.39929999999999999</v>
      </c>
      <c r="K31">
        <v>34.702329479658978</v>
      </c>
      <c r="L31">
        <v>73.997</v>
      </c>
      <c r="M31">
        <v>-140.07883333333334</v>
      </c>
      <c r="N31">
        <v>2107067374.9703066</v>
      </c>
      <c r="O31">
        <v>64930351.392396867</v>
      </c>
      <c r="P31">
        <v>3.0815507925232759</v>
      </c>
      <c r="Q31">
        <v>379.19577624937301</v>
      </c>
      <c r="R31">
        <v>27.848525236913929</v>
      </c>
      <c r="S31">
        <v>1.0278966878430902</v>
      </c>
      <c r="T31">
        <v>2165847575.7942128</v>
      </c>
      <c r="U31">
        <v>66741693.13673272</v>
      </c>
    </row>
    <row r="32" spans="1:21" x14ac:dyDescent="0.2">
      <c r="A32">
        <v>830</v>
      </c>
      <c r="B32" t="s">
        <v>5</v>
      </c>
      <c r="C32">
        <v>1</v>
      </c>
      <c r="D32" t="s">
        <v>42</v>
      </c>
      <c r="E32" t="s">
        <v>93</v>
      </c>
      <c r="F32" s="2">
        <f t="shared" si="0"/>
        <v>44447</v>
      </c>
      <c r="G32" s="3">
        <f t="shared" si="1"/>
        <v>0.33112268518518517</v>
      </c>
      <c r="H32">
        <v>3690</v>
      </c>
      <c r="I32">
        <v>186.29</v>
      </c>
      <c r="J32">
        <v>-1.3792</v>
      </c>
      <c r="K32">
        <v>32.63135468883938</v>
      </c>
      <c r="L32">
        <v>74.30983333333333</v>
      </c>
      <c r="M32">
        <v>-143.0685</v>
      </c>
      <c r="N32">
        <v>706918.3591282228</v>
      </c>
      <c r="O32">
        <v>3365429.7952960413</v>
      </c>
      <c r="P32">
        <v>476.07050401779287</v>
      </c>
      <c r="Q32">
        <v>184.27789746089314</v>
      </c>
      <c r="R32">
        <v>26.252916981063208</v>
      </c>
      <c r="S32">
        <v>1.0263018211402359</v>
      </c>
      <c r="T32">
        <v>725511.59937076236</v>
      </c>
      <c r="U32">
        <v>3453946.7278319388</v>
      </c>
    </row>
    <row r="33" spans="1:21" x14ac:dyDescent="0.2">
      <c r="A33">
        <v>834</v>
      </c>
      <c r="B33" t="s">
        <v>5</v>
      </c>
      <c r="C33">
        <v>5</v>
      </c>
      <c r="D33" t="s">
        <v>43</v>
      </c>
      <c r="E33" t="s">
        <v>93</v>
      </c>
      <c r="F33" s="2">
        <f t="shared" si="0"/>
        <v>44447</v>
      </c>
      <c r="G33" s="3">
        <f t="shared" si="1"/>
        <v>0.33112268518518517</v>
      </c>
      <c r="H33">
        <v>3690</v>
      </c>
      <c r="I33">
        <v>2542.9690000000001</v>
      </c>
      <c r="J33">
        <v>-0.3755</v>
      </c>
      <c r="K33">
        <v>34.951240618349679</v>
      </c>
      <c r="L33">
        <v>74.30983333333333</v>
      </c>
      <c r="M33">
        <v>-143.0685</v>
      </c>
      <c r="N33">
        <v>49065605.605693303</v>
      </c>
      <c r="O33">
        <v>3830743.3956739199</v>
      </c>
      <c r="P33">
        <v>7.8073904283562365</v>
      </c>
      <c r="Q33">
        <v>2501.4986558486012</v>
      </c>
      <c r="R33">
        <v>28.097137492868114</v>
      </c>
      <c r="S33">
        <v>1.0281455538306088</v>
      </c>
      <c r="T33">
        <v>50446584.249499768</v>
      </c>
      <c r="U33">
        <v>3938561.7901281095</v>
      </c>
    </row>
    <row r="34" spans="1:21" x14ac:dyDescent="0.2">
      <c r="A34">
        <v>835</v>
      </c>
      <c r="B34" t="s">
        <v>5</v>
      </c>
      <c r="C34">
        <v>6</v>
      </c>
      <c r="D34" t="s">
        <v>44</v>
      </c>
      <c r="E34" t="s">
        <v>93</v>
      </c>
      <c r="F34" s="2">
        <f t="shared" si="0"/>
        <v>44447</v>
      </c>
      <c r="G34" s="3">
        <f t="shared" si="1"/>
        <v>0.33112268518518517</v>
      </c>
      <c r="H34">
        <v>3690</v>
      </c>
      <c r="I34">
        <v>2032.5150000000001</v>
      </c>
      <c r="J34">
        <v>-0.39960000000000001</v>
      </c>
      <c r="K34">
        <v>34.938788807993149</v>
      </c>
      <c r="L34">
        <v>74.30983333333333</v>
      </c>
      <c r="M34">
        <v>-143.0685</v>
      </c>
      <c r="N34">
        <v>401040523.61440027</v>
      </c>
      <c r="O34">
        <v>13057811.145176293</v>
      </c>
      <c r="P34">
        <v>3.2559829683773693</v>
      </c>
      <c r="Q34">
        <v>2001.7477008776602</v>
      </c>
      <c r="R34">
        <v>28.086382629519449</v>
      </c>
      <c r="S34">
        <v>1.0281347959985172</v>
      </c>
      <c r="T34">
        <v>412323716.93342996</v>
      </c>
      <c r="U34">
        <v>13425189.997932993</v>
      </c>
    </row>
    <row r="35" spans="1:21" x14ac:dyDescent="0.2">
      <c r="A35">
        <v>836</v>
      </c>
      <c r="B35" t="s">
        <v>5</v>
      </c>
      <c r="C35">
        <v>7</v>
      </c>
      <c r="D35" t="s">
        <v>45</v>
      </c>
      <c r="E35" t="s">
        <v>93</v>
      </c>
      <c r="F35" s="2">
        <f t="shared" si="0"/>
        <v>44447</v>
      </c>
      <c r="G35" s="3">
        <f t="shared" si="1"/>
        <v>0.33112268518518517</v>
      </c>
      <c r="H35">
        <v>3690</v>
      </c>
      <c r="I35">
        <v>1523.4110000000001</v>
      </c>
      <c r="J35">
        <v>-0.28570000000000001</v>
      </c>
      <c r="K35">
        <v>34.907864916090134</v>
      </c>
      <c r="L35">
        <v>74.30983333333333</v>
      </c>
      <c r="M35">
        <v>-143.0685</v>
      </c>
      <c r="N35">
        <v>2361355596.581955</v>
      </c>
      <c r="O35">
        <v>72991017.592443898</v>
      </c>
      <c r="P35">
        <v>3.0910642047346815</v>
      </c>
      <c r="Q35">
        <v>1502.1471019417536</v>
      </c>
      <c r="R35">
        <v>28.054082551991542</v>
      </c>
      <c r="S35">
        <v>1.0281024536925103</v>
      </c>
      <c r="T35">
        <v>2427715482.8864493</v>
      </c>
      <c r="U35">
        <v>75042244.284304753</v>
      </c>
    </row>
    <row r="36" spans="1:21" x14ac:dyDescent="0.2">
      <c r="A36">
        <v>837</v>
      </c>
      <c r="B36" t="s">
        <v>5</v>
      </c>
      <c r="C36">
        <v>8</v>
      </c>
      <c r="D36" t="s">
        <v>46</v>
      </c>
      <c r="E36" t="s">
        <v>93</v>
      </c>
      <c r="F36" s="2">
        <f t="shared" si="0"/>
        <v>44447</v>
      </c>
      <c r="G36" s="3">
        <f t="shared" si="1"/>
        <v>0.33112268518518517</v>
      </c>
      <c r="H36">
        <v>3690</v>
      </c>
      <c r="I36">
        <v>1014.405</v>
      </c>
      <c r="J36">
        <v>3.8600000000000002E-2</v>
      </c>
      <c r="K36">
        <v>34.874906429683151</v>
      </c>
      <c r="L36">
        <v>74.30983333333333</v>
      </c>
      <c r="M36">
        <v>-143.0685</v>
      </c>
      <c r="N36">
        <v>897816649.21386421</v>
      </c>
      <c r="O36">
        <v>28313789.731210783</v>
      </c>
      <c r="P36">
        <v>3.1536271638538422</v>
      </c>
      <c r="Q36">
        <v>1001.4546470200397</v>
      </c>
      <c r="R36">
        <v>28.008904726663786</v>
      </c>
      <c r="S36">
        <v>1.0280571709519482</v>
      </c>
      <c r="T36">
        <v>923006844.4243629</v>
      </c>
      <c r="U36">
        <v>29108194.569996879</v>
      </c>
    </row>
    <row r="37" spans="1:21" x14ac:dyDescent="0.2">
      <c r="A37">
        <v>838</v>
      </c>
      <c r="B37" t="s">
        <v>5</v>
      </c>
      <c r="C37">
        <v>9</v>
      </c>
      <c r="D37" t="s">
        <v>47</v>
      </c>
      <c r="E37" t="s">
        <v>93</v>
      </c>
      <c r="F37" s="2">
        <f t="shared" si="0"/>
        <v>44447</v>
      </c>
      <c r="G37" s="3">
        <f t="shared" si="1"/>
        <v>0.33112268518518517</v>
      </c>
      <c r="H37">
        <v>3690</v>
      </c>
      <c r="I37">
        <v>811.44500000000005</v>
      </c>
      <c r="J37">
        <v>0.29370000000000002</v>
      </c>
      <c r="K37">
        <v>34.862294053906034</v>
      </c>
      <c r="L37">
        <v>74.30983333333333</v>
      </c>
      <c r="M37">
        <v>-143.0685</v>
      </c>
      <c r="N37">
        <v>988653858.54705393</v>
      </c>
      <c r="O37">
        <v>31097717.069324523</v>
      </c>
      <c r="P37">
        <v>3.1454605472360537</v>
      </c>
      <c r="Q37">
        <v>801.47411238754364</v>
      </c>
      <c r="R37">
        <v>27.984028305520951</v>
      </c>
      <c r="S37">
        <v>1.0280322150709023</v>
      </c>
      <c r="T37">
        <v>1016368016.1405224</v>
      </c>
      <c r="U37">
        <v>31969454.962425895</v>
      </c>
    </row>
    <row r="38" spans="1:21" x14ac:dyDescent="0.2">
      <c r="A38">
        <v>839</v>
      </c>
      <c r="B38" t="s">
        <v>5</v>
      </c>
      <c r="C38">
        <v>10</v>
      </c>
      <c r="D38" t="s">
        <v>48</v>
      </c>
      <c r="E38" t="s">
        <v>93</v>
      </c>
      <c r="F38" s="2">
        <f t="shared" si="0"/>
        <v>44447</v>
      </c>
      <c r="G38" s="3">
        <f t="shared" si="1"/>
        <v>0.33112268518518517</v>
      </c>
      <c r="H38">
        <v>3690</v>
      </c>
      <c r="I38">
        <v>608.94200000000001</v>
      </c>
      <c r="J38">
        <v>0.61780000000000002</v>
      </c>
      <c r="K38">
        <v>34.848202241356681</v>
      </c>
      <c r="L38">
        <v>74.30983333333333</v>
      </c>
      <c r="M38">
        <v>-143.0685</v>
      </c>
      <c r="N38">
        <v>1167357917.6703541</v>
      </c>
      <c r="O38">
        <v>36538326.371344052</v>
      </c>
      <c r="P38">
        <v>3.1300020172272456</v>
      </c>
      <c r="Q38">
        <v>601.75145160553632</v>
      </c>
      <c r="R38">
        <v>27.952999358010402</v>
      </c>
      <c r="S38">
        <v>1.02800108677693</v>
      </c>
      <c r="T38">
        <v>1200045208.022778</v>
      </c>
      <c r="U38">
        <v>37561439.218751848</v>
      </c>
    </row>
    <row r="39" spans="1:21" x14ac:dyDescent="0.2">
      <c r="A39">
        <v>842</v>
      </c>
      <c r="B39" t="s">
        <v>5</v>
      </c>
      <c r="C39">
        <v>13</v>
      </c>
      <c r="D39" t="s">
        <v>49</v>
      </c>
      <c r="E39" t="s">
        <v>93</v>
      </c>
      <c r="F39" s="2">
        <f t="shared" si="0"/>
        <v>44447</v>
      </c>
      <c r="G39" s="3">
        <f t="shared" si="1"/>
        <v>0.33112268518518517</v>
      </c>
      <c r="H39">
        <v>3690</v>
      </c>
      <c r="I39">
        <v>373.61</v>
      </c>
      <c r="J39">
        <v>0.42709999999999998</v>
      </c>
      <c r="K39">
        <v>34.711798777217702</v>
      </c>
      <c r="L39">
        <v>74.30983333333333</v>
      </c>
      <c r="M39">
        <v>-143.0685</v>
      </c>
      <c r="N39">
        <v>1982278146.7078567</v>
      </c>
      <c r="O39">
        <v>61175604.214673877</v>
      </c>
      <c r="P39">
        <v>3.0861261481530016</v>
      </c>
      <c r="Q39">
        <v>369.40746475771675</v>
      </c>
      <c r="R39">
        <v>27.854583467053772</v>
      </c>
      <c r="S39">
        <v>1.0279027366989864</v>
      </c>
      <c r="T39">
        <v>2037589131.8996005</v>
      </c>
      <c r="U39">
        <v>62882570.991477318</v>
      </c>
    </row>
    <row r="40" spans="1:21" x14ac:dyDescent="0.2">
      <c r="A40">
        <v>845</v>
      </c>
      <c r="B40" t="s">
        <v>5</v>
      </c>
      <c r="C40">
        <v>16</v>
      </c>
      <c r="D40" t="s">
        <v>50</v>
      </c>
      <c r="E40" t="s">
        <v>93</v>
      </c>
      <c r="F40" s="2">
        <f t="shared" si="0"/>
        <v>44447</v>
      </c>
      <c r="G40" s="3">
        <f t="shared" si="1"/>
        <v>0.33112268518518517</v>
      </c>
      <c r="H40">
        <v>3690</v>
      </c>
      <c r="I40">
        <v>252.47</v>
      </c>
      <c r="J40">
        <v>-1.1857</v>
      </c>
      <c r="K40">
        <v>33.61893542115822</v>
      </c>
      <c r="L40">
        <v>74.30983333333333</v>
      </c>
      <c r="M40">
        <v>-143.0685</v>
      </c>
      <c r="N40">
        <v>393281314.12331206</v>
      </c>
      <c r="O40">
        <v>12741092.662099387</v>
      </c>
      <c r="P40">
        <v>3.2396893024275393</v>
      </c>
      <c r="Q40">
        <v>249.7031237521729</v>
      </c>
      <c r="R40">
        <v>27.04660341525414</v>
      </c>
      <c r="S40">
        <v>1.0270953552000039</v>
      </c>
      <c r="T40">
        <v>403937411.02300751</v>
      </c>
      <c r="U40">
        <v>13086317.093415134</v>
      </c>
    </row>
    <row r="41" spans="1:21" x14ac:dyDescent="0.2">
      <c r="A41">
        <v>849</v>
      </c>
      <c r="B41" t="s">
        <v>5</v>
      </c>
      <c r="C41">
        <v>20</v>
      </c>
      <c r="D41" t="s">
        <v>51</v>
      </c>
      <c r="E41" t="s">
        <v>93</v>
      </c>
      <c r="F41" s="2">
        <f t="shared" si="0"/>
        <v>44447</v>
      </c>
      <c r="G41" s="3">
        <f t="shared" si="1"/>
        <v>0.33112268518518517</v>
      </c>
      <c r="H41">
        <v>3690</v>
      </c>
      <c r="I41">
        <v>147.40899999999999</v>
      </c>
      <c r="J41">
        <v>-1.2593000000000001</v>
      </c>
      <c r="K41">
        <v>32.359275234121306</v>
      </c>
      <c r="L41">
        <v>74.30983333333333</v>
      </c>
      <c r="M41">
        <v>-143.0685</v>
      </c>
      <c r="N41">
        <v>81041685.677415013</v>
      </c>
      <c r="O41">
        <v>4345506.5815619044</v>
      </c>
      <c r="P41">
        <v>5.3620634186449623</v>
      </c>
      <c r="Q41">
        <v>145.83057305927676</v>
      </c>
      <c r="R41">
        <v>26.029406610339038</v>
      </c>
      <c r="S41">
        <v>1.0260782965447317</v>
      </c>
      <c r="T41">
        <v>83155114.788995579</v>
      </c>
      <c r="U41">
        <v>4458829.9908329593</v>
      </c>
    </row>
    <row r="42" spans="1:21" x14ac:dyDescent="0.2">
      <c r="A42">
        <v>852</v>
      </c>
      <c r="B42" t="s">
        <v>5</v>
      </c>
      <c r="C42">
        <v>23</v>
      </c>
      <c r="D42" t="s">
        <v>52</v>
      </c>
      <c r="E42" t="s">
        <v>93</v>
      </c>
      <c r="F42" s="2">
        <f t="shared" si="0"/>
        <v>44447</v>
      </c>
      <c r="G42" s="3">
        <f t="shared" si="1"/>
        <v>0.33112268518518517</v>
      </c>
      <c r="H42">
        <v>3690</v>
      </c>
      <c r="I42">
        <v>73.617000000000004</v>
      </c>
      <c r="J42">
        <v>0.44</v>
      </c>
      <c r="K42">
        <v>30.989621315402871</v>
      </c>
      <c r="L42">
        <v>74.30983333333333</v>
      </c>
      <c r="M42">
        <v>-143.0685</v>
      </c>
      <c r="N42">
        <v>181363351.79758632</v>
      </c>
      <c r="O42">
        <v>6733304.1470996924</v>
      </c>
      <c r="P42">
        <v>3.712604603059229</v>
      </c>
      <c r="Q42">
        <v>72.841747577061</v>
      </c>
      <c r="R42">
        <v>24.855696333947662</v>
      </c>
      <c r="S42">
        <v>1.0249041721270509</v>
      </c>
      <c r="T42">
        <v>185880055.9282923</v>
      </c>
      <c r="U42">
        <v>6900991.5125628486</v>
      </c>
    </row>
    <row r="43" spans="1:21" x14ac:dyDescent="0.2">
      <c r="A43">
        <v>853</v>
      </c>
      <c r="B43" t="s">
        <v>5</v>
      </c>
      <c r="C43">
        <v>24</v>
      </c>
      <c r="D43" t="s">
        <v>53</v>
      </c>
      <c r="E43" t="s">
        <v>93</v>
      </c>
      <c r="F43" s="2">
        <f t="shared" si="0"/>
        <v>44447</v>
      </c>
      <c r="G43" s="3">
        <f t="shared" si="1"/>
        <v>0.33112268518518517</v>
      </c>
      <c r="H43">
        <v>3690</v>
      </c>
      <c r="I43">
        <v>21.297000000000001</v>
      </c>
      <c r="J43">
        <v>-1.3012999999999999</v>
      </c>
      <c r="K43">
        <v>26.801324470074597</v>
      </c>
      <c r="L43">
        <v>74.30983333333333</v>
      </c>
      <c r="M43">
        <v>-143.0685</v>
      </c>
      <c r="N43">
        <v>181526946.47631377</v>
      </c>
      <c r="O43">
        <v>6687897.5807379792</v>
      </c>
      <c r="P43">
        <v>3.6842450724585061</v>
      </c>
      <c r="Q43">
        <v>21.07539858384694</v>
      </c>
      <c r="R43">
        <v>21.523870982689346</v>
      </c>
      <c r="S43">
        <v>1.0215732878569515</v>
      </c>
      <c r="T43">
        <v>185443079.54644069</v>
      </c>
      <c r="U43">
        <v>6832177.5204050485</v>
      </c>
    </row>
    <row r="44" spans="1:21" x14ac:dyDescent="0.2">
      <c r="A44">
        <v>926</v>
      </c>
      <c r="B44" t="s">
        <v>6</v>
      </c>
      <c r="C44">
        <v>2</v>
      </c>
      <c r="D44" t="s">
        <v>54</v>
      </c>
      <c r="E44" t="s">
        <v>94</v>
      </c>
      <c r="F44" s="2">
        <f t="shared" si="0"/>
        <v>44449</v>
      </c>
      <c r="G44" s="3">
        <f t="shared" si="1"/>
        <v>0.72188657407407408</v>
      </c>
      <c r="H44">
        <v>2063</v>
      </c>
      <c r="I44">
        <v>2085.2750000000001</v>
      </c>
      <c r="J44">
        <v>-0.38919999999999999</v>
      </c>
      <c r="K44">
        <v>34.951537477790261</v>
      </c>
      <c r="L44">
        <v>72.348500000000001</v>
      </c>
      <c r="M44">
        <v>-134.01783333333333</v>
      </c>
      <c r="N44">
        <v>240696040.11033392</v>
      </c>
      <c r="O44">
        <v>8347870.0852149762</v>
      </c>
      <c r="P44">
        <v>3.4682207822730908</v>
      </c>
      <c r="Q44">
        <v>2053.660159190727</v>
      </c>
      <c r="R44">
        <v>28.096343049490997</v>
      </c>
      <c r="S44">
        <v>1.0281447532225161</v>
      </c>
      <c r="T44">
        <v>247470370.76087609</v>
      </c>
      <c r="U44">
        <v>8582818.8286969755</v>
      </c>
    </row>
    <row r="45" spans="1:21" x14ac:dyDescent="0.2">
      <c r="A45">
        <v>927</v>
      </c>
      <c r="B45" t="s">
        <v>6</v>
      </c>
      <c r="C45">
        <v>3</v>
      </c>
      <c r="D45" t="s">
        <v>55</v>
      </c>
      <c r="E45" t="s">
        <v>94</v>
      </c>
      <c r="F45" s="2">
        <f t="shared" si="0"/>
        <v>44449</v>
      </c>
      <c r="G45" s="3">
        <f t="shared" si="1"/>
        <v>0.72188657407407408</v>
      </c>
      <c r="H45">
        <v>2063</v>
      </c>
      <c r="I45">
        <v>1523.0239999999999</v>
      </c>
      <c r="J45">
        <v>-0.31219999999999998</v>
      </c>
      <c r="K45">
        <v>34.911857658590783</v>
      </c>
      <c r="L45">
        <v>72.348500000000001</v>
      </c>
      <c r="M45">
        <v>-134.01783333333333</v>
      </c>
      <c r="N45">
        <v>502185981.07993817</v>
      </c>
      <c r="O45">
        <v>16047923.165582126</v>
      </c>
      <c r="P45">
        <v>3.1956135316783385</v>
      </c>
      <c r="Q45">
        <v>1501.9164705020182</v>
      </c>
      <c r="R45">
        <v>28.058559110444094</v>
      </c>
      <c r="S45">
        <v>1.0281069380130918</v>
      </c>
      <c r="T45">
        <v>516300891.32119572</v>
      </c>
      <c r="U45">
        <v>16498981.147236003</v>
      </c>
    </row>
    <row r="46" spans="1:21" x14ac:dyDescent="0.2">
      <c r="A46">
        <v>928</v>
      </c>
      <c r="B46" t="s">
        <v>6</v>
      </c>
      <c r="C46">
        <v>4</v>
      </c>
      <c r="D46" t="s">
        <v>56</v>
      </c>
      <c r="E46" t="s">
        <v>94</v>
      </c>
      <c r="F46" s="2">
        <f t="shared" si="0"/>
        <v>44449</v>
      </c>
      <c r="G46" s="3">
        <f t="shared" si="1"/>
        <v>0.72188657407407408</v>
      </c>
      <c r="H46">
        <v>2063</v>
      </c>
      <c r="I46">
        <v>1014.655</v>
      </c>
      <c r="J46">
        <v>2.3E-3</v>
      </c>
      <c r="K46">
        <v>34.877361418323055</v>
      </c>
      <c r="L46">
        <v>72.348500000000001</v>
      </c>
      <c r="M46">
        <v>-134.01783333333333</v>
      </c>
      <c r="N46">
        <v>496122689.27643496</v>
      </c>
      <c r="O46">
        <v>15971516.948165635</v>
      </c>
      <c r="P46">
        <v>3.2192675911394275</v>
      </c>
      <c r="Q46">
        <v>1001.8006455827573</v>
      </c>
      <c r="R46">
        <v>28.012746080311672</v>
      </c>
      <c r="S46">
        <v>1.0280610231443177</v>
      </c>
      <c r="T46">
        <v>510044399.54264212</v>
      </c>
      <c r="U46">
        <v>16419694.054897973</v>
      </c>
    </row>
    <row r="47" spans="1:21" x14ac:dyDescent="0.2">
      <c r="A47">
        <v>929.1</v>
      </c>
      <c r="B47" t="s">
        <v>6</v>
      </c>
      <c r="C47">
        <v>5</v>
      </c>
      <c r="D47" t="s">
        <v>57</v>
      </c>
      <c r="E47" t="s">
        <v>94</v>
      </c>
      <c r="F47" s="2">
        <f t="shared" si="0"/>
        <v>44449</v>
      </c>
      <c r="G47" s="3">
        <f t="shared" ref="G47" si="4">TIMEVALUE(MID(E47,13,8))</f>
        <v>0.72188657407407408</v>
      </c>
      <c r="H47">
        <v>2063</v>
      </c>
      <c r="I47">
        <v>812.06399999999996</v>
      </c>
      <c r="J47">
        <v>0.2364</v>
      </c>
      <c r="K47">
        <v>34.865761240522758</v>
      </c>
      <c r="L47">
        <v>72.348500000000001</v>
      </c>
      <c r="M47">
        <v>-134.01783333333333</v>
      </c>
      <c r="N47">
        <v>733571656.01785541</v>
      </c>
      <c r="O47">
        <v>23231014.950828198</v>
      </c>
      <c r="P47">
        <v>3.1668364992366538</v>
      </c>
      <c r="Q47">
        <v>802.16422193104052</v>
      </c>
      <c r="R47">
        <v>27.989993549549354</v>
      </c>
      <c r="S47">
        <v>1.0280381973441057</v>
      </c>
      <c r="T47">
        <v>754139682.87532651</v>
      </c>
      <c r="U47">
        <v>23882370.732523389</v>
      </c>
    </row>
    <row r="48" spans="1:21" x14ac:dyDescent="0.2">
      <c r="A48">
        <v>930</v>
      </c>
      <c r="B48" t="s">
        <v>6</v>
      </c>
      <c r="C48">
        <v>6</v>
      </c>
      <c r="D48" t="s">
        <v>58</v>
      </c>
      <c r="E48" t="s">
        <v>94</v>
      </c>
      <c r="F48" s="2">
        <f t="shared" si="0"/>
        <v>44449</v>
      </c>
      <c r="G48" s="3">
        <f t="shared" si="1"/>
        <v>0.72188657407407408</v>
      </c>
      <c r="H48">
        <v>2063</v>
      </c>
      <c r="I48">
        <v>609.68499999999995</v>
      </c>
      <c r="J48">
        <v>0.51639999999999997</v>
      </c>
      <c r="K48">
        <v>34.848176881657047</v>
      </c>
      <c r="L48">
        <v>72.348500000000001</v>
      </c>
      <c r="M48">
        <v>-134.01783333333333</v>
      </c>
      <c r="N48">
        <v>930878196.00357354</v>
      </c>
      <c r="O48">
        <v>29272232.503150824</v>
      </c>
      <c r="P48">
        <v>3.1445824629711763</v>
      </c>
      <c r="Q48">
        <v>602.54462392539995</v>
      </c>
      <c r="R48">
        <v>27.95902463345783</v>
      </c>
      <c r="S48">
        <v>1.0280071424629675</v>
      </c>
      <c r="T48">
        <v>956949434.2547158</v>
      </c>
      <c r="U48">
        <v>30092064.089075677</v>
      </c>
    </row>
    <row r="49" spans="1:21" x14ac:dyDescent="0.2">
      <c r="A49">
        <v>935</v>
      </c>
      <c r="B49" t="s">
        <v>6</v>
      </c>
      <c r="C49">
        <v>11</v>
      </c>
      <c r="D49" t="s">
        <v>59</v>
      </c>
      <c r="E49" t="s">
        <v>94</v>
      </c>
      <c r="F49" s="2">
        <f t="shared" si="0"/>
        <v>44449</v>
      </c>
      <c r="G49" s="3">
        <f t="shared" si="1"/>
        <v>0.72188657407407408</v>
      </c>
      <c r="H49">
        <v>2063</v>
      </c>
      <c r="I49">
        <v>297.52800000000002</v>
      </c>
      <c r="J49">
        <v>0.1399</v>
      </c>
      <c r="K49">
        <v>34.601203125188185</v>
      </c>
      <c r="L49">
        <v>72.348500000000001</v>
      </c>
      <c r="M49">
        <v>-134.01783333333333</v>
      </c>
      <c r="N49">
        <v>2417191949.5212388</v>
      </c>
      <c r="O49">
        <v>74401043.483034313</v>
      </c>
      <c r="P49">
        <v>3.0779948401603172</v>
      </c>
      <c r="Q49">
        <v>294.26460374519979</v>
      </c>
      <c r="R49">
        <v>27.78155632467201</v>
      </c>
      <c r="S49">
        <v>1.0278298054847395</v>
      </c>
      <c r="T49">
        <v>2484461931.2956929</v>
      </c>
      <c r="U49">
        <v>76471610.051028803</v>
      </c>
    </row>
    <row r="50" spans="1:21" x14ac:dyDescent="0.2">
      <c r="A50">
        <v>938</v>
      </c>
      <c r="B50" t="s">
        <v>6</v>
      </c>
      <c r="C50">
        <v>14</v>
      </c>
      <c r="D50" t="s">
        <v>60</v>
      </c>
      <c r="E50" t="s">
        <v>94</v>
      </c>
      <c r="F50" s="2">
        <f t="shared" si="0"/>
        <v>44449</v>
      </c>
      <c r="G50" s="3">
        <f t="shared" si="1"/>
        <v>0.72188657407407408</v>
      </c>
      <c r="H50">
        <v>2063</v>
      </c>
      <c r="I50">
        <v>213.58199999999999</v>
      </c>
      <c r="J50">
        <v>-1.0677000000000001</v>
      </c>
      <c r="K50">
        <v>33.669249312523959</v>
      </c>
      <c r="L50">
        <v>72.348500000000001</v>
      </c>
      <c r="M50">
        <v>-134.01783333333333</v>
      </c>
      <c r="N50">
        <v>251873758.51330721</v>
      </c>
      <c r="O50">
        <v>8597195.0995997861</v>
      </c>
      <c r="P50">
        <v>3.4132952755161954</v>
      </c>
      <c r="Q50">
        <v>211.28221650665861</v>
      </c>
      <c r="R50">
        <v>27.083264075846046</v>
      </c>
      <c r="S50">
        <v>1.027131973159213</v>
      </c>
      <c r="T50">
        <v>258707590.56880036</v>
      </c>
      <c r="U50">
        <v>8830453.9662866443</v>
      </c>
    </row>
    <row r="51" spans="1:21" x14ac:dyDescent="0.2">
      <c r="A51">
        <v>942</v>
      </c>
      <c r="B51" t="s">
        <v>6</v>
      </c>
      <c r="C51">
        <v>18</v>
      </c>
      <c r="D51" t="s">
        <v>61</v>
      </c>
      <c r="E51" t="s">
        <v>94</v>
      </c>
      <c r="F51" s="2">
        <f t="shared" si="0"/>
        <v>44449</v>
      </c>
      <c r="G51" s="3">
        <f t="shared" si="1"/>
        <v>0.72188657407407408</v>
      </c>
      <c r="H51">
        <v>2063</v>
      </c>
      <c r="I51">
        <v>126.482</v>
      </c>
      <c r="J51">
        <v>-1.2686999999999999</v>
      </c>
      <c r="K51">
        <v>32.356473408270297</v>
      </c>
      <c r="L51">
        <v>72.348500000000001</v>
      </c>
      <c r="M51">
        <v>-134.01783333333333</v>
      </c>
      <c r="N51">
        <v>83957795.093683302</v>
      </c>
      <c r="O51">
        <v>4433462.8280019639</v>
      </c>
      <c r="P51">
        <v>5.2805851119064497</v>
      </c>
      <c r="Q51">
        <v>125.14646460364726</v>
      </c>
      <c r="R51">
        <v>26.027762115366841</v>
      </c>
      <c r="S51">
        <v>1.026076655167288</v>
      </c>
      <c r="T51">
        <v>86147133.564947098</v>
      </c>
      <c r="U51">
        <v>4549072.7093647607</v>
      </c>
    </row>
    <row r="52" spans="1:21" x14ac:dyDescent="0.2">
      <c r="A52">
        <v>945</v>
      </c>
      <c r="B52" t="s">
        <v>6</v>
      </c>
      <c r="C52">
        <v>21</v>
      </c>
      <c r="D52" t="s">
        <v>62</v>
      </c>
      <c r="E52" t="s">
        <v>94</v>
      </c>
      <c r="F52" s="2">
        <f t="shared" si="0"/>
        <v>44449</v>
      </c>
      <c r="G52" s="3">
        <f t="shared" si="1"/>
        <v>0.72188657407407408</v>
      </c>
      <c r="H52">
        <v>2063</v>
      </c>
      <c r="I52">
        <v>56.808</v>
      </c>
      <c r="J52">
        <v>0.74809999999999999</v>
      </c>
      <c r="K52">
        <v>30.784124859025546</v>
      </c>
      <c r="L52">
        <v>72.348500000000001</v>
      </c>
      <c r="M52">
        <v>-134.01783333333333</v>
      </c>
      <c r="N52">
        <v>175737102.32777026</v>
      </c>
      <c r="O52">
        <v>6568459.0894020209</v>
      </c>
      <c r="P52">
        <v>3.7376621114140578</v>
      </c>
      <c r="Q52">
        <v>56.217653080990104</v>
      </c>
      <c r="R52">
        <v>24.675380503992756</v>
      </c>
      <c r="S52">
        <v>1.0247237796362381</v>
      </c>
      <c r="T52">
        <v>180081987.71963307</v>
      </c>
      <c r="U52">
        <v>6730856.2244780418</v>
      </c>
    </row>
    <row r="53" spans="1:21" x14ac:dyDescent="0.2">
      <c r="A53">
        <v>948</v>
      </c>
      <c r="B53" t="s">
        <v>6</v>
      </c>
      <c r="C53">
        <v>24</v>
      </c>
      <c r="D53" t="s">
        <v>63</v>
      </c>
      <c r="E53" t="s">
        <v>94</v>
      </c>
      <c r="F53" s="2">
        <f t="shared" si="0"/>
        <v>44449</v>
      </c>
      <c r="G53" s="3">
        <f t="shared" si="1"/>
        <v>0.72188657407407408</v>
      </c>
      <c r="H53">
        <v>2063</v>
      </c>
      <c r="I53">
        <v>4.9189999999999996</v>
      </c>
      <c r="J53">
        <v>-1.3284</v>
      </c>
      <c r="K53">
        <v>26.401275384737762</v>
      </c>
      <c r="L53">
        <v>72.348500000000001</v>
      </c>
      <c r="M53">
        <v>-134.01783333333333</v>
      </c>
      <c r="N53">
        <v>174817343.93853119</v>
      </c>
      <c r="O53">
        <v>6485026.7363840966</v>
      </c>
      <c r="P53">
        <v>3.7096014561715021</v>
      </c>
      <c r="Q53">
        <v>4.868494922604107</v>
      </c>
      <c r="R53">
        <v>21.200027742162888</v>
      </c>
      <c r="S53">
        <v>1.0212494908914813</v>
      </c>
      <c r="T53">
        <v>178532123.49622595</v>
      </c>
      <c r="U53">
        <v>6622830.2529499028</v>
      </c>
    </row>
    <row r="54" spans="1:21" x14ac:dyDescent="0.2">
      <c r="A54">
        <v>949</v>
      </c>
      <c r="B54" t="s">
        <v>7</v>
      </c>
      <c r="C54">
        <v>1</v>
      </c>
      <c r="D54" t="s">
        <v>64</v>
      </c>
      <c r="E54" t="s">
        <v>95</v>
      </c>
      <c r="F54" s="2">
        <f t="shared" si="0"/>
        <v>44450</v>
      </c>
      <c r="G54" s="3">
        <f t="shared" si="1"/>
        <v>9.6655092592592598E-2</v>
      </c>
      <c r="H54">
        <v>2737</v>
      </c>
      <c r="I54">
        <v>4.9160000000000004</v>
      </c>
      <c r="J54">
        <v>-1.3278000000000001</v>
      </c>
      <c r="K54">
        <v>26.397741402911215</v>
      </c>
      <c r="L54">
        <v>72.904833333333329</v>
      </c>
      <c r="M54">
        <v>-135.98433333333332</v>
      </c>
      <c r="N54">
        <v>2341203.3942034678</v>
      </c>
      <c r="O54">
        <v>3369194.4406557172</v>
      </c>
      <c r="P54">
        <v>143.90866034952063</v>
      </c>
      <c r="Q54">
        <v>4.8653831651283754</v>
      </c>
      <c r="R54">
        <v>21.197100840196754</v>
      </c>
      <c r="S54">
        <v>1.0212465641232829</v>
      </c>
      <c r="T54">
        <v>2390945.9222440594</v>
      </c>
      <c r="U54">
        <v>3440778.2463829168</v>
      </c>
    </row>
    <row r="55" spans="1:21" x14ac:dyDescent="0.2">
      <c r="A55">
        <v>952</v>
      </c>
      <c r="B55" t="s">
        <v>7</v>
      </c>
      <c r="C55">
        <v>4</v>
      </c>
      <c r="D55" t="s">
        <v>65</v>
      </c>
      <c r="E55" t="s">
        <v>95</v>
      </c>
      <c r="F55" s="2">
        <f t="shared" si="0"/>
        <v>44450</v>
      </c>
      <c r="G55" s="3">
        <f t="shared" si="1"/>
        <v>9.6655092592592598E-2</v>
      </c>
      <c r="H55">
        <v>2737</v>
      </c>
      <c r="I55">
        <v>2032.558</v>
      </c>
      <c r="J55">
        <v>-0.39119999999999999</v>
      </c>
      <c r="K55">
        <v>34.938062436206422</v>
      </c>
      <c r="L55">
        <v>72.904833333333329</v>
      </c>
      <c r="M55">
        <v>-135.98433333333332</v>
      </c>
      <c r="N55">
        <v>281254460.72590828</v>
      </c>
      <c r="O55">
        <v>9494056.8610249422</v>
      </c>
      <c r="P55">
        <v>3.3756111232942234</v>
      </c>
      <c r="Q55">
        <v>2001.9305802390725</v>
      </c>
      <c r="R55">
        <v>28.085366912317113</v>
      </c>
      <c r="S55">
        <v>1.0281337777762223</v>
      </c>
      <c r="T55">
        <v>289167211.22254223</v>
      </c>
      <c r="U55">
        <v>9761160.5469478369</v>
      </c>
    </row>
    <row r="56" spans="1:21" x14ac:dyDescent="0.2">
      <c r="A56">
        <v>953</v>
      </c>
      <c r="B56" t="s">
        <v>7</v>
      </c>
      <c r="C56">
        <v>5</v>
      </c>
      <c r="D56" t="s">
        <v>66</v>
      </c>
      <c r="E56" t="s">
        <v>95</v>
      </c>
      <c r="F56" s="2">
        <f t="shared" si="0"/>
        <v>44450</v>
      </c>
      <c r="G56" s="3">
        <f t="shared" si="1"/>
        <v>9.6655092592592598E-2</v>
      </c>
      <c r="H56">
        <v>2737</v>
      </c>
      <c r="I56">
        <v>1523.6559999999999</v>
      </c>
      <c r="J56">
        <v>-0.27079999999999999</v>
      </c>
      <c r="K56">
        <v>34.906277002550262</v>
      </c>
      <c r="L56">
        <v>72.904833333333329</v>
      </c>
      <c r="M56">
        <v>-135.98433333333332</v>
      </c>
      <c r="N56">
        <v>691371055.05551231</v>
      </c>
      <c r="O56">
        <v>21785268.452842072</v>
      </c>
      <c r="P56">
        <v>3.1510240837451415</v>
      </c>
      <c r="Q56">
        <v>1502.4934410857093</v>
      </c>
      <c r="R56">
        <v>28.052042704995529</v>
      </c>
      <c r="S56">
        <v>1.0281004094316541</v>
      </c>
      <c r="T56">
        <v>710798864.7717669</v>
      </c>
      <c r="U56">
        <v>22397443.415945433</v>
      </c>
    </row>
    <row r="57" spans="1:21" x14ac:dyDescent="0.2">
      <c r="A57">
        <v>954</v>
      </c>
      <c r="B57" t="s">
        <v>7</v>
      </c>
      <c r="C57">
        <v>6</v>
      </c>
      <c r="D57" t="s">
        <v>67</v>
      </c>
      <c r="E57" t="s">
        <v>95</v>
      </c>
      <c r="F57" s="2">
        <f t="shared" si="0"/>
        <v>44450</v>
      </c>
      <c r="G57" s="3">
        <f t="shared" si="1"/>
        <v>9.6655092592592598E-2</v>
      </c>
      <c r="H57">
        <v>2737</v>
      </c>
      <c r="I57">
        <v>1015.1559999999999</v>
      </c>
      <c r="J57">
        <v>5.7200000000000001E-2</v>
      </c>
      <c r="K57">
        <v>34.872755185042521</v>
      </c>
      <c r="L57">
        <v>72.904833333333329</v>
      </c>
      <c r="M57">
        <v>-135.98433333333332</v>
      </c>
      <c r="N57">
        <v>768830321.87738335</v>
      </c>
      <c r="O57">
        <v>24324412.823849499</v>
      </c>
      <c r="P57">
        <v>3.1638206938108859</v>
      </c>
      <c r="Q57">
        <v>1002.2647304248424</v>
      </c>
      <c r="R57">
        <v>28.006119185504303</v>
      </c>
      <c r="S57">
        <v>1.0280543799659105</v>
      </c>
      <c r="T57">
        <v>790399379.85664475</v>
      </c>
      <c r="U57">
        <v>25006819.143657438</v>
      </c>
    </row>
    <row r="58" spans="1:21" x14ac:dyDescent="0.2">
      <c r="A58">
        <v>955</v>
      </c>
      <c r="B58" t="s">
        <v>7</v>
      </c>
      <c r="C58">
        <v>7</v>
      </c>
      <c r="D58" t="s">
        <v>68</v>
      </c>
      <c r="E58" t="s">
        <v>95</v>
      </c>
      <c r="F58" s="2">
        <f t="shared" si="0"/>
        <v>44450</v>
      </c>
      <c r="G58" s="3">
        <f t="shared" si="1"/>
        <v>9.6655092592592598E-2</v>
      </c>
      <c r="H58">
        <v>2737</v>
      </c>
      <c r="I58">
        <v>811.98800000000006</v>
      </c>
      <c r="J58">
        <v>0.30659999999999998</v>
      </c>
      <c r="K58">
        <v>34.860751133390892</v>
      </c>
      <c r="L58">
        <v>72.904833333333329</v>
      </c>
      <c r="M58">
        <v>-135.98433333333332</v>
      </c>
      <c r="N58">
        <v>850494336.90409565</v>
      </c>
      <c r="O58">
        <v>26832347.771286793</v>
      </c>
      <c r="P58">
        <v>3.1549119855353593</v>
      </c>
      <c r="Q58">
        <v>802.06578941007001</v>
      </c>
      <c r="R58">
        <v>27.981987369073295</v>
      </c>
      <c r="S58">
        <v>1.0280301703919783</v>
      </c>
      <c r="T58">
        <v>874333838.08493006</v>
      </c>
      <c r="U58">
        <v>27584463.051332783</v>
      </c>
    </row>
    <row r="59" spans="1:21" x14ac:dyDescent="0.2">
      <c r="A59">
        <v>956</v>
      </c>
      <c r="B59" t="s">
        <v>7</v>
      </c>
      <c r="C59">
        <v>8</v>
      </c>
      <c r="D59" t="s">
        <v>69</v>
      </c>
      <c r="E59" t="s">
        <v>95</v>
      </c>
      <c r="F59" s="2">
        <f t="shared" si="0"/>
        <v>44450</v>
      </c>
      <c r="G59" s="3">
        <f t="shared" si="1"/>
        <v>9.6655092592592598E-2</v>
      </c>
      <c r="H59">
        <v>2737</v>
      </c>
      <c r="I59">
        <v>609.22799999999995</v>
      </c>
      <c r="J59">
        <v>0.58940000000000003</v>
      </c>
      <c r="K59">
        <v>34.845255082013651</v>
      </c>
      <c r="L59">
        <v>72.904833333333329</v>
      </c>
      <c r="M59">
        <v>-135.98433333333332</v>
      </c>
      <c r="N59">
        <v>869193199.95110869</v>
      </c>
      <c r="O59">
        <v>27408651.682991289</v>
      </c>
      <c r="P59">
        <v>3.1533440073545216</v>
      </c>
      <c r="Q59">
        <v>602.07599239018168</v>
      </c>
      <c r="R59">
        <v>27.952279873454245</v>
      </c>
      <c r="S59">
        <v>1.0280003760650758</v>
      </c>
      <c r="T59">
        <v>893530936.42294633</v>
      </c>
      <c r="U59">
        <v>28176104.237551715</v>
      </c>
    </row>
    <row r="60" spans="1:21" x14ac:dyDescent="0.2">
      <c r="A60">
        <v>962</v>
      </c>
      <c r="B60" t="s">
        <v>7</v>
      </c>
      <c r="C60">
        <v>14</v>
      </c>
      <c r="D60" t="s">
        <v>70</v>
      </c>
      <c r="E60" t="s">
        <v>95</v>
      </c>
      <c r="F60" s="2">
        <f t="shared" si="0"/>
        <v>44450</v>
      </c>
      <c r="G60" s="3">
        <f t="shared" si="1"/>
        <v>9.6655092592592598E-2</v>
      </c>
      <c r="H60">
        <v>2737</v>
      </c>
      <c r="I60">
        <v>248.83</v>
      </c>
      <c r="J60">
        <v>-1.1274</v>
      </c>
      <c r="K60">
        <v>33.71081652826124</v>
      </c>
      <c r="L60">
        <v>72.904833333333329</v>
      </c>
      <c r="M60">
        <v>-135.98433333333332</v>
      </c>
      <c r="N60">
        <v>240023900.9083375</v>
      </c>
      <c r="O60">
        <v>8260894.9622904994</v>
      </c>
      <c r="P60">
        <v>3.4416968189535608</v>
      </c>
      <c r="Q60">
        <v>246.12248596383577</v>
      </c>
      <c r="R60">
        <v>27.118884828267937</v>
      </c>
      <c r="S60">
        <v>1.0271676095326099</v>
      </c>
      <c r="T60">
        <v>246544776.52670905</v>
      </c>
      <c r="U60">
        <v>8485323.7310159113</v>
      </c>
    </row>
    <row r="61" spans="1:21" x14ac:dyDescent="0.2">
      <c r="A61">
        <v>966</v>
      </c>
      <c r="B61" t="s">
        <v>7</v>
      </c>
      <c r="C61">
        <v>18</v>
      </c>
      <c r="D61" t="s">
        <v>71</v>
      </c>
      <c r="E61" t="s">
        <v>95</v>
      </c>
      <c r="F61" s="2">
        <f t="shared" si="0"/>
        <v>44450</v>
      </c>
      <c r="G61" s="3">
        <f t="shared" si="1"/>
        <v>9.6655092592592598E-2</v>
      </c>
      <c r="H61">
        <v>2737</v>
      </c>
      <c r="I61">
        <v>144.04300000000001</v>
      </c>
      <c r="J61">
        <v>-1.2113</v>
      </c>
      <c r="K61">
        <v>32.315324140904401</v>
      </c>
      <c r="L61">
        <v>72.904833333333329</v>
      </c>
      <c r="M61">
        <v>-135.98433333333332</v>
      </c>
      <c r="N61">
        <v>81337703.721654877</v>
      </c>
      <c r="O61">
        <v>4349166.8525933456</v>
      </c>
      <c r="P61">
        <v>5.3470489743312593</v>
      </c>
      <c r="Q61">
        <v>142.51179752006374</v>
      </c>
      <c r="R61">
        <v>25.992260113424891</v>
      </c>
      <c r="S61">
        <v>1.0260411385274022</v>
      </c>
      <c r="T61">
        <v>83455830.131771296</v>
      </c>
      <c r="U61">
        <v>4462424.1090805149</v>
      </c>
    </row>
    <row r="62" spans="1:21" x14ac:dyDescent="0.2">
      <c r="A62">
        <v>969</v>
      </c>
      <c r="B62" t="s">
        <v>7</v>
      </c>
      <c r="C62">
        <v>21</v>
      </c>
      <c r="D62" t="s">
        <v>72</v>
      </c>
      <c r="E62" t="s">
        <v>95</v>
      </c>
      <c r="F62" s="2">
        <f t="shared" si="0"/>
        <v>44450</v>
      </c>
      <c r="G62" s="3">
        <f t="shared" si="1"/>
        <v>9.6655092592592598E-2</v>
      </c>
      <c r="H62">
        <v>2737</v>
      </c>
      <c r="I62">
        <v>68.372</v>
      </c>
      <c r="J62">
        <v>0.69620000000000004</v>
      </c>
      <c r="K62">
        <v>30.785158134598799</v>
      </c>
      <c r="L62">
        <v>72.904833333333329</v>
      </c>
      <c r="M62">
        <v>-135.98433333333332</v>
      </c>
      <c r="N62">
        <v>181306323.6742115</v>
      </c>
      <c r="O62">
        <v>6760692.7128360868</v>
      </c>
      <c r="P62">
        <v>3.7288786049097462</v>
      </c>
      <c r="Q62">
        <v>67.657599794153526</v>
      </c>
      <c r="R62">
        <v>24.679081250199943</v>
      </c>
      <c r="S62">
        <v>1.0247274962839348</v>
      </c>
      <c r="T62">
        <v>185789575.11911944</v>
      </c>
      <c r="U62">
        <v>6927867.7167695658</v>
      </c>
    </row>
    <row r="63" spans="1:21" x14ac:dyDescent="0.2">
      <c r="A63">
        <v>973</v>
      </c>
      <c r="B63" t="s">
        <v>8</v>
      </c>
      <c r="C63">
        <v>1</v>
      </c>
      <c r="D63" t="s">
        <v>73</v>
      </c>
      <c r="E63" t="s">
        <v>96</v>
      </c>
      <c r="F63" s="2">
        <f t="shared" si="0"/>
        <v>44450</v>
      </c>
      <c r="G63" s="3">
        <f t="shared" si="1"/>
        <v>0.36517361111111113</v>
      </c>
      <c r="H63">
        <v>3126</v>
      </c>
      <c r="I63">
        <v>5.1079999999999997</v>
      </c>
      <c r="J63">
        <v>-1.2144999999999999</v>
      </c>
      <c r="K63">
        <v>26.048636653171666</v>
      </c>
      <c r="L63">
        <v>73.452500000000001</v>
      </c>
      <c r="M63">
        <v>-138.01633333333334</v>
      </c>
      <c r="N63">
        <v>3106864.4871816528</v>
      </c>
      <c r="O63">
        <v>3374135.401304909</v>
      </c>
      <c r="P63">
        <v>108.60259323269381</v>
      </c>
      <c r="Q63">
        <v>5.0552621341001487</v>
      </c>
      <c r="R63">
        <v>20.913222511313847</v>
      </c>
      <c r="S63">
        <v>1.0209626801875062</v>
      </c>
      <c r="T63">
        <v>3171992.6938123624</v>
      </c>
      <c r="U63">
        <v>3444866.3226318071</v>
      </c>
    </row>
    <row r="64" spans="1:21" x14ac:dyDescent="0.2">
      <c r="A64">
        <v>976</v>
      </c>
      <c r="B64" t="s">
        <v>8</v>
      </c>
      <c r="C64">
        <v>4</v>
      </c>
      <c r="D64" t="s">
        <v>74</v>
      </c>
      <c r="E64" t="s">
        <v>96</v>
      </c>
      <c r="F64" s="2">
        <f t="shared" ref="F64:F77" si="5">DATEVALUE(MID(E64,5,2)&amp;"-"&amp;LEFT(E64,3)&amp;"-"&amp;MID(E64,8,4))</f>
        <v>44450</v>
      </c>
      <c r="G64" s="3">
        <f t="shared" ref="G64:G77" si="6">TIMEVALUE(MID(E64,13,8))</f>
        <v>0.36517361111111113</v>
      </c>
      <c r="H64">
        <v>3126</v>
      </c>
      <c r="I64">
        <v>2029.864</v>
      </c>
      <c r="J64">
        <v>-0.40060000000000001</v>
      </c>
      <c r="K64">
        <v>34.939677511316489</v>
      </c>
      <c r="L64">
        <v>73.452500000000001</v>
      </c>
      <c r="M64">
        <v>-138.01633333333334</v>
      </c>
      <c r="N64">
        <v>269739401.54470992</v>
      </c>
      <c r="O64">
        <v>9153957.4745958485</v>
      </c>
      <c r="P64">
        <v>3.3936300822846448</v>
      </c>
      <c r="Q64">
        <v>1999.2337224202931</v>
      </c>
      <c r="R64">
        <v>28.087118494045626</v>
      </c>
      <c r="S64">
        <v>1.0281355320368604</v>
      </c>
      <c r="T64">
        <v>277328663.11847466</v>
      </c>
      <c r="U64">
        <v>9411508.9383863974</v>
      </c>
    </row>
    <row r="65" spans="1:21" x14ac:dyDescent="0.2">
      <c r="A65">
        <v>977.1</v>
      </c>
      <c r="B65" t="s">
        <v>8</v>
      </c>
      <c r="C65">
        <v>5</v>
      </c>
      <c r="D65" t="s">
        <v>75</v>
      </c>
      <c r="E65" t="s">
        <v>96</v>
      </c>
      <c r="F65" s="2">
        <f t="shared" si="0"/>
        <v>44450</v>
      </c>
      <c r="G65" s="3">
        <f t="shared" si="6"/>
        <v>0.36517361111111113</v>
      </c>
      <c r="H65">
        <v>3126</v>
      </c>
      <c r="I65">
        <v>1523.25</v>
      </c>
      <c r="J65">
        <v>-0.29289999999999999</v>
      </c>
      <c r="K65">
        <v>34.909676976159474</v>
      </c>
      <c r="L65">
        <v>73.452500000000001</v>
      </c>
      <c r="M65">
        <v>-138.01633333333334</v>
      </c>
      <c r="N65">
        <v>465786939.01526654</v>
      </c>
      <c r="O65">
        <v>15001602.457835326</v>
      </c>
      <c r="P65">
        <v>3.220700539510756</v>
      </c>
      <c r="Q65">
        <v>1502.05240222317</v>
      </c>
      <c r="R65">
        <v>28.055894200365174</v>
      </c>
      <c r="S65">
        <v>1.0281042673826253</v>
      </c>
      <c r="T65">
        <v>478877539.69268614</v>
      </c>
      <c r="U65">
        <v>15423211.504478179</v>
      </c>
    </row>
    <row r="66" spans="1:21" x14ac:dyDescent="0.2">
      <c r="A66">
        <v>978</v>
      </c>
      <c r="B66" t="s">
        <v>8</v>
      </c>
      <c r="C66">
        <v>6</v>
      </c>
      <c r="D66" t="s">
        <v>76</v>
      </c>
      <c r="E66" t="s">
        <v>96</v>
      </c>
      <c r="F66" s="2">
        <f t="shared" si="5"/>
        <v>44450</v>
      </c>
      <c r="G66" s="3">
        <f t="shared" si="6"/>
        <v>0.36517361111111113</v>
      </c>
      <c r="H66">
        <v>3126</v>
      </c>
      <c r="I66">
        <v>1014.579</v>
      </c>
      <c r="J66">
        <v>3.0800000000000001E-2</v>
      </c>
      <c r="K66">
        <v>34.876491093664178</v>
      </c>
      <c r="L66">
        <v>73.452500000000001</v>
      </c>
      <c r="M66">
        <v>-138.01633333333334</v>
      </c>
      <c r="N66">
        <v>639586110.67388833</v>
      </c>
      <c r="O66">
        <v>20352429.153832529</v>
      </c>
      <c r="P66">
        <v>3.1821249420798958</v>
      </c>
      <c r="Q66">
        <v>1001.6683465371858</v>
      </c>
      <c r="R66">
        <v>28.010569469736311</v>
      </c>
      <c r="S66">
        <v>1.028058837932837</v>
      </c>
      <c r="T66">
        <v>657532153.69738054</v>
      </c>
      <c r="U66">
        <v>20923494.664999463</v>
      </c>
    </row>
    <row r="67" spans="1:21" x14ac:dyDescent="0.2">
      <c r="A67">
        <v>979</v>
      </c>
      <c r="B67" t="s">
        <v>8</v>
      </c>
      <c r="C67">
        <v>7</v>
      </c>
      <c r="D67" t="s">
        <v>77</v>
      </c>
      <c r="E67" t="s">
        <v>96</v>
      </c>
      <c r="F67" s="2">
        <f t="shared" si="5"/>
        <v>44450</v>
      </c>
      <c r="G67" s="3">
        <f t="shared" si="6"/>
        <v>0.36517361111111113</v>
      </c>
      <c r="H67">
        <v>3126</v>
      </c>
      <c r="I67">
        <v>811.75099999999998</v>
      </c>
      <c r="J67">
        <v>0.27739999999999998</v>
      </c>
      <c r="K67">
        <v>34.863070960164229</v>
      </c>
      <c r="L67">
        <v>73.452500000000001</v>
      </c>
      <c r="M67">
        <v>-138.01633333333334</v>
      </c>
      <c r="N67">
        <v>781490579.81443846</v>
      </c>
      <c r="O67">
        <v>24694943.886419926</v>
      </c>
      <c r="P67">
        <v>3.1599797264713843</v>
      </c>
      <c r="Q67">
        <v>801.8096552162616</v>
      </c>
      <c r="R67">
        <v>27.985543859437712</v>
      </c>
      <c r="S67">
        <v>1.0280337354882665</v>
      </c>
      <c r="T67">
        <v>803398680.01552844</v>
      </c>
      <c r="U67">
        <v>25387235.411229406</v>
      </c>
    </row>
    <row r="68" spans="1:21" x14ac:dyDescent="0.2">
      <c r="A68">
        <v>980</v>
      </c>
      <c r="B68" t="s">
        <v>8</v>
      </c>
      <c r="C68">
        <v>8</v>
      </c>
      <c r="D68" t="s">
        <v>78</v>
      </c>
      <c r="E68" t="s">
        <v>96</v>
      </c>
      <c r="F68" s="2">
        <f t="shared" si="5"/>
        <v>44450</v>
      </c>
      <c r="G68" s="3">
        <f t="shared" si="6"/>
        <v>0.36517361111111113</v>
      </c>
      <c r="H68">
        <v>3126</v>
      </c>
      <c r="I68">
        <v>609.07600000000002</v>
      </c>
      <c r="J68">
        <v>0.60199999999999998</v>
      </c>
      <c r="K68">
        <v>34.848538299472864</v>
      </c>
      <c r="L68">
        <v>73.452500000000001</v>
      </c>
      <c r="M68">
        <v>-138.01633333333334</v>
      </c>
      <c r="N68">
        <v>1180443564.9510705</v>
      </c>
      <c r="O68">
        <v>36994139.720606789</v>
      </c>
      <c r="P68">
        <v>3.1339185386757729</v>
      </c>
      <c r="Q68">
        <v>601.90911694927377</v>
      </c>
      <c r="R68">
        <v>27.954183575104935</v>
      </c>
      <c r="S68">
        <v>1.028002275700332</v>
      </c>
      <c r="T68">
        <v>1213498671.1055131</v>
      </c>
      <c r="U68">
        <v>38030059.820359826</v>
      </c>
    </row>
    <row r="69" spans="1:21" x14ac:dyDescent="0.2">
      <c r="A69">
        <v>984</v>
      </c>
      <c r="B69" t="s">
        <v>8</v>
      </c>
      <c r="C69">
        <v>12</v>
      </c>
      <c r="D69" t="s">
        <v>79</v>
      </c>
      <c r="E69" t="s">
        <v>96</v>
      </c>
      <c r="F69" s="2">
        <f t="shared" si="5"/>
        <v>44450</v>
      </c>
      <c r="G69" s="3">
        <f t="shared" si="6"/>
        <v>0.36517361111111113</v>
      </c>
      <c r="H69">
        <v>3126</v>
      </c>
      <c r="I69">
        <v>337.52499999999998</v>
      </c>
      <c r="J69">
        <v>0.1605</v>
      </c>
      <c r="K69">
        <v>34.60716617713225</v>
      </c>
      <c r="L69">
        <v>73.452500000000001</v>
      </c>
      <c r="M69">
        <v>-138.01633333333334</v>
      </c>
      <c r="N69">
        <v>2420803336.5048141</v>
      </c>
      <c r="O69">
        <v>74593598.891196266</v>
      </c>
      <c r="P69">
        <v>3.081357240646216</v>
      </c>
      <c r="Q69">
        <v>333.7715273185637</v>
      </c>
      <c r="R69">
        <v>27.785325225149791</v>
      </c>
      <c r="S69">
        <v>1.0278335680855424</v>
      </c>
      <c r="T69">
        <v>2488182930.9931293</v>
      </c>
      <c r="U69">
        <v>76669804.904680014</v>
      </c>
    </row>
    <row r="70" spans="1:21" x14ac:dyDescent="0.2">
      <c r="A70">
        <v>991</v>
      </c>
      <c r="B70" t="s">
        <v>8</v>
      </c>
      <c r="C70">
        <v>19</v>
      </c>
      <c r="D70" t="s">
        <v>80</v>
      </c>
      <c r="E70" t="s">
        <v>96</v>
      </c>
      <c r="F70" s="2">
        <f t="shared" si="5"/>
        <v>44450</v>
      </c>
      <c r="G70" s="3">
        <f t="shared" ref="G70:G71" si="7">TIMEVALUE(MID(E70,13,8))</f>
        <v>0.36517361111111113</v>
      </c>
      <c r="H70">
        <v>3126</v>
      </c>
      <c r="I70">
        <v>147.41200000000001</v>
      </c>
      <c r="J70">
        <v>-1.2309000000000001</v>
      </c>
      <c r="K70">
        <v>32.341570615262356</v>
      </c>
      <c r="L70">
        <v>73.452500000000001</v>
      </c>
      <c r="M70">
        <v>-138.01633333333334</v>
      </c>
      <c r="N70">
        <v>86081052.053940743</v>
      </c>
      <c r="O70">
        <v>4452514.2468260927</v>
      </c>
      <c r="P70">
        <v>5.1724672742568538</v>
      </c>
      <c r="Q70">
        <v>145.83970450699698</v>
      </c>
      <c r="R70">
        <v>26.014000310021856</v>
      </c>
      <c r="S70">
        <v>1.026062882696396</v>
      </c>
      <c r="T70">
        <v>88324572.416004956</v>
      </c>
      <c r="U70">
        <v>4568559.6033451529</v>
      </c>
    </row>
    <row r="71" spans="1:21" x14ac:dyDescent="0.2">
      <c r="A71">
        <v>996.1</v>
      </c>
      <c r="B71" t="s">
        <v>8</v>
      </c>
      <c r="C71">
        <v>24</v>
      </c>
      <c r="D71" t="s">
        <v>81</v>
      </c>
      <c r="E71" t="s">
        <v>96</v>
      </c>
      <c r="F71" s="2">
        <f t="shared" si="5"/>
        <v>44450</v>
      </c>
      <c r="G71" s="3">
        <f t="shared" si="7"/>
        <v>0.36517361111111113</v>
      </c>
      <c r="H71">
        <v>3126</v>
      </c>
      <c r="I71">
        <v>21.012</v>
      </c>
      <c r="J71">
        <v>-1.0803</v>
      </c>
      <c r="K71">
        <v>26.97885100808401</v>
      </c>
      <c r="L71">
        <v>73.452500000000001</v>
      </c>
      <c r="M71">
        <v>-138.01633333333334</v>
      </c>
      <c r="N71">
        <v>185914266.59687421</v>
      </c>
      <c r="O71">
        <v>6804749.5284780012</v>
      </c>
      <c r="P71">
        <v>3.6601545718021891</v>
      </c>
      <c r="Q71">
        <v>20.794257458350788</v>
      </c>
      <c r="R71">
        <v>21.665036191430204</v>
      </c>
      <c r="S71">
        <v>1.0217143627961871</v>
      </c>
      <c r="T71">
        <v>189951276.43074578</v>
      </c>
      <c r="U71">
        <v>6952510.3284765556</v>
      </c>
    </row>
    <row r="72" spans="1:21" x14ac:dyDescent="0.2">
      <c r="A72">
        <v>1188</v>
      </c>
      <c r="B72" t="s">
        <v>9</v>
      </c>
      <c r="C72">
        <v>3</v>
      </c>
      <c r="D72" t="s">
        <v>82</v>
      </c>
      <c r="E72" t="s">
        <v>97</v>
      </c>
      <c r="F72" s="2">
        <f t="shared" si="5"/>
        <v>44452</v>
      </c>
      <c r="G72" s="3">
        <f t="shared" si="6"/>
        <v>0.57951388888888888</v>
      </c>
      <c r="H72">
        <v>1121</v>
      </c>
      <c r="I72">
        <v>913.48900000000003</v>
      </c>
      <c r="J72">
        <v>0.15740000000000001</v>
      </c>
      <c r="K72">
        <v>34.867795839667835</v>
      </c>
      <c r="L72">
        <v>71.777500000000003</v>
      </c>
      <c r="M72">
        <v>-131.87866666666667</v>
      </c>
      <c r="N72">
        <v>971400854.19644296</v>
      </c>
      <c r="O72">
        <v>30590504.205304965</v>
      </c>
      <c r="P72">
        <v>3.1491123435968023</v>
      </c>
      <c r="Q72">
        <v>902.16191584595867</v>
      </c>
      <c r="R72">
        <v>27.996325599611737</v>
      </c>
      <c r="S72">
        <v>1.0280445547542312</v>
      </c>
      <c r="T72">
        <v>998643358.64026201</v>
      </c>
      <c r="U72">
        <v>31448401.275450181</v>
      </c>
    </row>
    <row r="73" spans="1:21" x14ac:dyDescent="0.2">
      <c r="A73">
        <v>1192</v>
      </c>
      <c r="B73" t="s">
        <v>9</v>
      </c>
      <c r="C73">
        <v>7</v>
      </c>
      <c r="D73" t="s">
        <v>83</v>
      </c>
      <c r="E73" t="s">
        <v>97</v>
      </c>
      <c r="F73" s="2">
        <f t="shared" si="5"/>
        <v>44452</v>
      </c>
      <c r="G73" s="3">
        <f t="shared" si="6"/>
        <v>0.57951388888888888</v>
      </c>
      <c r="H73">
        <v>1121</v>
      </c>
      <c r="I73">
        <v>507.43599999999998</v>
      </c>
      <c r="J73">
        <v>0.65329999999999999</v>
      </c>
      <c r="K73">
        <v>34.831187013520193</v>
      </c>
      <c r="L73">
        <v>71.777500000000003</v>
      </c>
      <c r="M73">
        <v>-131.87866666666667</v>
      </c>
      <c r="N73">
        <v>1174218792.757417</v>
      </c>
      <c r="O73">
        <v>36472269.941851735</v>
      </c>
      <c r="P73">
        <v>3.1060880788838285</v>
      </c>
      <c r="Q73">
        <v>501.63190054030878</v>
      </c>
      <c r="R73">
        <v>27.936737673108382</v>
      </c>
      <c r="S73">
        <v>1.0279848144348669</v>
      </c>
      <c r="T73">
        <v>1207079087.7786667</v>
      </c>
      <c r="U73">
        <v>37492939.64819283</v>
      </c>
    </row>
    <row r="74" spans="1:21" x14ac:dyDescent="0.2">
      <c r="A74">
        <v>1200</v>
      </c>
      <c r="B74" t="s">
        <v>9</v>
      </c>
      <c r="C74">
        <v>15</v>
      </c>
      <c r="D74" t="s">
        <v>84</v>
      </c>
      <c r="E74" t="s">
        <v>97</v>
      </c>
      <c r="F74" s="2">
        <f t="shared" si="5"/>
        <v>44452</v>
      </c>
      <c r="G74" s="3">
        <f t="shared" si="6"/>
        <v>0.57951388888888888</v>
      </c>
      <c r="H74">
        <v>1121</v>
      </c>
      <c r="I74">
        <v>200.42400000000001</v>
      </c>
      <c r="J74">
        <v>-1.1702999999999999</v>
      </c>
      <c r="K74">
        <v>33.663294805349615</v>
      </c>
      <c r="L74">
        <v>71.777500000000003</v>
      </c>
      <c r="M74">
        <v>-131.87866666666667</v>
      </c>
      <c r="N74">
        <v>368662859.00469244</v>
      </c>
      <c r="O74">
        <v>12015988.513174118</v>
      </c>
      <c r="P74">
        <v>3.2593433864248245</v>
      </c>
      <c r="Q74">
        <v>198.27834040973289</v>
      </c>
      <c r="R74">
        <v>27.08209354008045</v>
      </c>
      <c r="S74">
        <v>1.0271308358764006</v>
      </c>
      <c r="T74">
        <v>378664990.5260734</v>
      </c>
      <c r="U74">
        <v>12341992.325417761</v>
      </c>
    </row>
    <row r="75" spans="1:21" x14ac:dyDescent="0.2">
      <c r="A75">
        <v>1203</v>
      </c>
      <c r="B75" t="s">
        <v>9</v>
      </c>
      <c r="C75">
        <v>18</v>
      </c>
      <c r="D75" t="s">
        <v>85</v>
      </c>
      <c r="E75" t="s">
        <v>97</v>
      </c>
      <c r="F75" s="2">
        <f t="shared" si="5"/>
        <v>44452</v>
      </c>
      <c r="G75" s="3">
        <f t="shared" si="6"/>
        <v>0.57951388888888888</v>
      </c>
      <c r="H75">
        <v>1121</v>
      </c>
      <c r="I75">
        <v>131.059</v>
      </c>
      <c r="J75">
        <v>-1.3218000000000001</v>
      </c>
      <c r="K75">
        <v>32.630998062579295</v>
      </c>
      <c r="L75">
        <v>71.777500000000003</v>
      </c>
      <c r="M75">
        <v>-131.87866666666667</v>
      </c>
      <c r="N75">
        <v>127426630.95741247</v>
      </c>
      <c r="O75">
        <v>5304095.6343199471</v>
      </c>
      <c r="P75">
        <v>4.1624702736531116</v>
      </c>
      <c r="Q75">
        <v>129.67770828049191</v>
      </c>
      <c r="R75">
        <v>26.251783296882877</v>
      </c>
      <c r="S75">
        <v>1.0263006683810743</v>
      </c>
      <c r="T75">
        <v>130778036.5211409</v>
      </c>
      <c r="U75">
        <v>5443596.8946596999</v>
      </c>
    </row>
    <row r="76" spans="1:21" x14ac:dyDescent="0.2">
      <c r="A76">
        <v>1206</v>
      </c>
      <c r="B76" t="s">
        <v>9</v>
      </c>
      <c r="C76">
        <v>21</v>
      </c>
      <c r="D76" t="s">
        <v>86</v>
      </c>
      <c r="E76" t="s">
        <v>97</v>
      </c>
      <c r="F76" s="2">
        <f t="shared" si="5"/>
        <v>44452</v>
      </c>
      <c r="G76" s="3">
        <f t="shared" si="6"/>
        <v>0.57951388888888888</v>
      </c>
      <c r="H76">
        <v>1121</v>
      </c>
      <c r="I76">
        <v>71.623999999999995</v>
      </c>
      <c r="J76">
        <v>-0.72050000000000003</v>
      </c>
      <c r="K76">
        <v>31.702974891893003</v>
      </c>
      <c r="L76">
        <v>71.777500000000003</v>
      </c>
      <c r="M76">
        <v>-131.87866666666667</v>
      </c>
      <c r="N76">
        <v>198027171.64715242</v>
      </c>
      <c r="O76">
        <v>7124600.0867960574</v>
      </c>
      <c r="P76">
        <v>3.5977891455677451</v>
      </c>
      <c r="Q76">
        <v>70.879330834718544</v>
      </c>
      <c r="R76">
        <v>25.480072979076112</v>
      </c>
      <c r="S76">
        <v>1.0255288490287207</v>
      </c>
      <c r="T76">
        <v>203082577.41571712</v>
      </c>
      <c r="U76">
        <v>7306482.9268018836</v>
      </c>
    </row>
    <row r="77" spans="1:21" x14ac:dyDescent="0.2">
      <c r="A77">
        <v>1209</v>
      </c>
      <c r="B77" t="s">
        <v>9</v>
      </c>
      <c r="C77">
        <v>24</v>
      </c>
      <c r="D77" t="s">
        <v>87</v>
      </c>
      <c r="E77" t="s">
        <v>97</v>
      </c>
      <c r="F77" s="2">
        <f t="shared" si="5"/>
        <v>44452</v>
      </c>
      <c r="G77" s="3">
        <f t="shared" si="6"/>
        <v>0.57951388888888888</v>
      </c>
      <c r="H77">
        <v>1121</v>
      </c>
      <c r="I77">
        <v>15.734999999999999</v>
      </c>
      <c r="J77">
        <v>-1.298</v>
      </c>
      <c r="K77">
        <v>28.05035687255819</v>
      </c>
      <c r="L77">
        <v>71.777500000000003</v>
      </c>
      <c r="M77">
        <v>-131.87866666666667</v>
      </c>
      <c r="N77">
        <v>181483169.68582794</v>
      </c>
      <c r="O77">
        <v>6660087.2201552996</v>
      </c>
      <c r="P77">
        <v>3.6698098405955863</v>
      </c>
      <c r="Q77">
        <v>15.573516020841963</v>
      </c>
      <c r="R77">
        <v>22.535980746304404</v>
      </c>
      <c r="S77">
        <v>1.0225852805366586</v>
      </c>
      <c r="T77">
        <v>185582017.9858644</v>
      </c>
      <c r="U77">
        <v>6810507.1584211225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Payne  Annabel</cp:lastModifiedBy>
  <dcterms:modified xsi:type="dcterms:W3CDTF">2026-03-03T14:10:52Z</dcterms:modified>
</cp:coreProperties>
</file>